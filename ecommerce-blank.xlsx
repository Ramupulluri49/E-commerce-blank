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Vamshi Pulluri\Downloads\"/>
    </mc:Choice>
  </mc:AlternateContent>
  <xr:revisionPtr revIDLastSave="0" documentId="13_ncr:1_{77A043C0-32EB-477C-A98D-376C86CB6708}" xr6:coauthVersionLast="47" xr6:coauthVersionMax="47" xr10:uidLastSave="{00000000-0000-0000-0000-000000000000}"/>
  <bookViews>
    <workbookView xWindow="-108" yWindow="-108" windowWidth="23256" windowHeight="12456" activeTab="1" xr2:uid="{346724B3-1C49-40AE-AA36-C77CF5D6DD09}"/>
  </bookViews>
  <sheets>
    <sheet name="Sheet1" sheetId="5" r:id="rId1"/>
    <sheet name="Dashboard" sheetId="6" r:id="rId2"/>
    <sheet name="Sheet4" sheetId="8" r:id="rId3"/>
    <sheet name="Data" sheetId="1" r:id="rId4"/>
    <sheet name="Questions &amp; KPIs" sheetId="2" r:id="rId5"/>
  </sheets>
  <definedNames>
    <definedName name="_xlchart.v5.0" hidden="1">Sheet1!$O$8:$P$8</definedName>
    <definedName name="_xlchart.v5.1" hidden="1">Sheet1!$O$9:$P$66</definedName>
    <definedName name="_xlchart.v5.10" hidden="1">Sheet1!$Q$8</definedName>
    <definedName name="_xlchart.v5.11" hidden="1">Sheet1!$Q$9:$Q$66</definedName>
    <definedName name="_xlchart.v5.12" hidden="1">Sheet1!$T$8:$U$8</definedName>
    <definedName name="_xlchart.v5.13" hidden="1">Sheet1!$T$9:$U$66</definedName>
    <definedName name="_xlchart.v5.14" hidden="1">Sheet1!$V$8</definedName>
    <definedName name="_xlchart.v5.15" hidden="1">Sheet1!$V$9:$V$66</definedName>
    <definedName name="_xlchart.v5.16" hidden="1">Sheet1!$T$8:$U$8</definedName>
    <definedName name="_xlchart.v5.17" hidden="1">Sheet1!$T$9:$U$66</definedName>
    <definedName name="_xlchart.v5.18" hidden="1">Sheet1!$V$8</definedName>
    <definedName name="_xlchart.v5.19" hidden="1">Sheet1!$V$9:$V$66</definedName>
    <definedName name="_xlchart.v5.2" hidden="1">Sheet1!$Q$8</definedName>
    <definedName name="_xlchart.v5.3" hidden="1">Sheet1!$Q$9:$Q$66</definedName>
    <definedName name="_xlchart.v5.4" hidden="1">Sheet1!$T$8:$U$8</definedName>
    <definedName name="_xlchart.v5.5" hidden="1">Sheet1!$T$9:$U$66</definedName>
    <definedName name="_xlchart.v5.6" hidden="1">Sheet1!$V$8</definedName>
    <definedName name="_xlchart.v5.7" hidden="1">Sheet1!$V$9:$V$66</definedName>
    <definedName name="_xlchart.v5.8" hidden="1">Sheet1!$O$8:$P$8</definedName>
    <definedName name="_xlchart.v5.9" hidden="1">Sheet1!$O$9:$P$66</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10" i="5" l="1"/>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9" i="5"/>
  <c r="T10" i="5"/>
  <c r="U10" i="5"/>
  <c r="T11" i="5"/>
  <c r="U11" i="5"/>
  <c r="T12" i="5"/>
  <c r="U12" i="5"/>
  <c r="T13" i="5"/>
  <c r="U13" i="5"/>
  <c r="T14" i="5"/>
  <c r="U14" i="5"/>
  <c r="T15" i="5"/>
  <c r="U15" i="5"/>
  <c r="T16" i="5"/>
  <c r="U16" i="5"/>
  <c r="T17" i="5"/>
  <c r="U17" i="5"/>
  <c r="T18" i="5"/>
  <c r="U18" i="5"/>
  <c r="T19" i="5"/>
  <c r="U19" i="5"/>
  <c r="T20" i="5"/>
  <c r="U20" i="5"/>
  <c r="T21" i="5"/>
  <c r="U21" i="5"/>
  <c r="T22" i="5"/>
  <c r="U22" i="5"/>
  <c r="T23" i="5"/>
  <c r="U23" i="5"/>
  <c r="T24" i="5"/>
  <c r="U24" i="5"/>
  <c r="T25" i="5"/>
  <c r="U25" i="5"/>
  <c r="T26" i="5"/>
  <c r="U26" i="5"/>
  <c r="T27" i="5"/>
  <c r="U27" i="5"/>
  <c r="T28" i="5"/>
  <c r="U28" i="5"/>
  <c r="T29" i="5"/>
  <c r="U29" i="5"/>
  <c r="T30" i="5"/>
  <c r="U30" i="5"/>
  <c r="T31" i="5"/>
  <c r="U31" i="5"/>
  <c r="T32" i="5"/>
  <c r="U32" i="5"/>
  <c r="T33" i="5"/>
  <c r="U33" i="5"/>
  <c r="T34" i="5"/>
  <c r="U34" i="5"/>
  <c r="T35" i="5"/>
  <c r="U35" i="5"/>
  <c r="T36" i="5"/>
  <c r="U36" i="5"/>
  <c r="T37" i="5"/>
  <c r="U37" i="5"/>
  <c r="T38" i="5"/>
  <c r="U38" i="5"/>
  <c r="T39" i="5"/>
  <c r="U39" i="5"/>
  <c r="T40" i="5"/>
  <c r="U40" i="5"/>
  <c r="T41" i="5"/>
  <c r="U41" i="5"/>
  <c r="T42" i="5"/>
  <c r="U42" i="5"/>
  <c r="T43" i="5"/>
  <c r="U43" i="5"/>
  <c r="T44" i="5"/>
  <c r="U44" i="5"/>
  <c r="T45" i="5"/>
  <c r="U45" i="5"/>
  <c r="T46" i="5"/>
  <c r="U46" i="5"/>
  <c r="T47" i="5"/>
  <c r="U47" i="5"/>
  <c r="T48" i="5"/>
  <c r="U48" i="5"/>
  <c r="T49" i="5"/>
  <c r="U49" i="5"/>
  <c r="T50" i="5"/>
  <c r="U50" i="5"/>
  <c r="T51" i="5"/>
  <c r="U51" i="5"/>
  <c r="T52" i="5"/>
  <c r="U52" i="5"/>
  <c r="T53" i="5"/>
  <c r="U53" i="5"/>
  <c r="T54" i="5"/>
  <c r="U54" i="5"/>
  <c r="T55" i="5"/>
  <c r="U55" i="5"/>
  <c r="T56" i="5"/>
  <c r="U56" i="5"/>
  <c r="T57" i="5"/>
  <c r="U57" i="5"/>
  <c r="T58" i="5"/>
  <c r="U58" i="5"/>
  <c r="T59" i="5"/>
  <c r="U59" i="5"/>
  <c r="T60" i="5"/>
  <c r="U60" i="5"/>
  <c r="T61" i="5"/>
  <c r="U61" i="5"/>
  <c r="T62" i="5"/>
  <c r="U62" i="5"/>
  <c r="T63" i="5"/>
  <c r="U63" i="5"/>
  <c r="T64" i="5"/>
  <c r="U64" i="5"/>
  <c r="T65" i="5"/>
  <c r="U65" i="5"/>
  <c r="T66" i="5"/>
  <c r="U66" i="5"/>
  <c r="U9" i="5"/>
  <c r="O10" i="5"/>
  <c r="P10" i="5"/>
  <c r="Q10" i="5"/>
  <c r="O11" i="5"/>
  <c r="P11" i="5"/>
  <c r="Q11" i="5"/>
  <c r="O12" i="5"/>
  <c r="P12" i="5"/>
  <c r="Q12" i="5"/>
  <c r="O13" i="5"/>
  <c r="P13" i="5"/>
  <c r="Q13" i="5"/>
  <c r="O14" i="5"/>
  <c r="P14" i="5"/>
  <c r="Q14" i="5"/>
  <c r="O15" i="5"/>
  <c r="P15" i="5"/>
  <c r="Q15" i="5"/>
  <c r="O16" i="5"/>
  <c r="P16" i="5"/>
  <c r="Q16" i="5"/>
  <c r="O17" i="5"/>
  <c r="P17" i="5"/>
  <c r="Q17" i="5"/>
  <c r="O18" i="5"/>
  <c r="P18" i="5"/>
  <c r="Q18" i="5"/>
  <c r="O19" i="5"/>
  <c r="P19" i="5"/>
  <c r="Q19" i="5"/>
  <c r="O20" i="5"/>
  <c r="P20" i="5"/>
  <c r="Q20" i="5"/>
  <c r="O21" i="5"/>
  <c r="P21" i="5"/>
  <c r="Q21" i="5"/>
  <c r="O22" i="5"/>
  <c r="P22" i="5"/>
  <c r="Q22" i="5"/>
  <c r="O23" i="5"/>
  <c r="P23" i="5"/>
  <c r="Q23" i="5"/>
  <c r="O24" i="5"/>
  <c r="P24" i="5"/>
  <c r="Q24" i="5"/>
  <c r="O25" i="5"/>
  <c r="P25" i="5"/>
  <c r="Q25" i="5"/>
  <c r="O26" i="5"/>
  <c r="P26" i="5"/>
  <c r="Q26" i="5"/>
  <c r="O27" i="5"/>
  <c r="P27" i="5"/>
  <c r="Q27" i="5"/>
  <c r="O28" i="5"/>
  <c r="P28" i="5"/>
  <c r="Q28" i="5"/>
  <c r="O29" i="5"/>
  <c r="P29" i="5"/>
  <c r="Q29" i="5"/>
  <c r="O30" i="5"/>
  <c r="P30" i="5"/>
  <c r="Q30" i="5"/>
  <c r="O31" i="5"/>
  <c r="P31" i="5"/>
  <c r="Q31" i="5"/>
  <c r="O32" i="5"/>
  <c r="P32" i="5"/>
  <c r="Q32" i="5"/>
  <c r="O33" i="5"/>
  <c r="P33" i="5"/>
  <c r="Q33" i="5"/>
  <c r="O34" i="5"/>
  <c r="P34" i="5"/>
  <c r="Q34" i="5"/>
  <c r="O35" i="5"/>
  <c r="P35" i="5"/>
  <c r="Q35" i="5"/>
  <c r="O36" i="5"/>
  <c r="P36" i="5"/>
  <c r="Q36" i="5"/>
  <c r="O37" i="5"/>
  <c r="P37" i="5"/>
  <c r="Q37" i="5"/>
  <c r="O38" i="5"/>
  <c r="P38" i="5"/>
  <c r="Q38" i="5"/>
  <c r="O39" i="5"/>
  <c r="P39" i="5"/>
  <c r="Q39" i="5"/>
  <c r="O40" i="5"/>
  <c r="P40" i="5"/>
  <c r="Q40" i="5"/>
  <c r="O41" i="5"/>
  <c r="P41" i="5"/>
  <c r="Q41" i="5"/>
  <c r="O42" i="5"/>
  <c r="P42" i="5"/>
  <c r="Q42" i="5"/>
  <c r="O43" i="5"/>
  <c r="P43" i="5"/>
  <c r="Q43" i="5"/>
  <c r="O44" i="5"/>
  <c r="P44" i="5"/>
  <c r="Q44" i="5"/>
  <c r="O45" i="5"/>
  <c r="P45" i="5"/>
  <c r="Q45" i="5"/>
  <c r="O46" i="5"/>
  <c r="P46" i="5"/>
  <c r="Q46" i="5"/>
  <c r="O47" i="5"/>
  <c r="P47" i="5"/>
  <c r="Q47" i="5"/>
  <c r="O48" i="5"/>
  <c r="P48" i="5"/>
  <c r="Q48" i="5"/>
  <c r="O49" i="5"/>
  <c r="P49" i="5"/>
  <c r="Q49" i="5"/>
  <c r="O50" i="5"/>
  <c r="P50" i="5"/>
  <c r="Q50" i="5"/>
  <c r="O51" i="5"/>
  <c r="P51" i="5"/>
  <c r="Q51" i="5"/>
  <c r="O52" i="5"/>
  <c r="P52" i="5"/>
  <c r="Q52" i="5"/>
  <c r="O53" i="5"/>
  <c r="P53" i="5"/>
  <c r="Q53" i="5"/>
  <c r="O54" i="5"/>
  <c r="P54" i="5"/>
  <c r="Q54" i="5"/>
  <c r="O55" i="5"/>
  <c r="P55" i="5"/>
  <c r="Q55" i="5"/>
  <c r="O56" i="5"/>
  <c r="P56" i="5"/>
  <c r="Q56" i="5"/>
  <c r="O57" i="5"/>
  <c r="P57" i="5"/>
  <c r="Q57" i="5"/>
  <c r="O58" i="5"/>
  <c r="P58" i="5"/>
  <c r="Q58" i="5"/>
  <c r="O59" i="5"/>
  <c r="P59" i="5"/>
  <c r="Q59" i="5"/>
  <c r="O60" i="5"/>
  <c r="P60" i="5"/>
  <c r="Q60" i="5"/>
  <c r="O61" i="5"/>
  <c r="P61" i="5"/>
  <c r="Q61" i="5"/>
  <c r="O62" i="5"/>
  <c r="P62" i="5"/>
  <c r="Q62" i="5"/>
  <c r="O63" i="5"/>
  <c r="P63" i="5"/>
  <c r="Q63" i="5"/>
  <c r="O64" i="5"/>
  <c r="P64" i="5"/>
  <c r="Q64" i="5"/>
  <c r="O65" i="5"/>
  <c r="P65" i="5"/>
  <c r="Q65" i="5"/>
  <c r="O66" i="5"/>
  <c r="P66" i="5"/>
  <c r="Q66" i="5"/>
  <c r="T9" i="5"/>
  <c r="P9" i="5"/>
  <c r="Q9" i="5"/>
  <c r="O9" i="5"/>
  <c r="V8" i="5"/>
  <c r="U8" i="5"/>
  <c r="T8" i="5"/>
  <c r="Q8" i="5"/>
  <c r="P8" i="5"/>
  <c r="O8" i="5"/>
  <c r="U10" i="8"/>
  <c r="T10" i="8"/>
  <c r="S10" i="8"/>
  <c r="R10" i="8"/>
  <c r="Q10" i="8"/>
  <c r="U9" i="8"/>
  <c r="T9" i="8"/>
  <c r="U8" i="8"/>
  <c r="T8" i="8"/>
  <c r="U7" i="8"/>
  <c r="T7" i="8"/>
  <c r="AA7" i="8" s="1"/>
  <c r="U6" i="8"/>
  <c r="T6" i="8"/>
  <c r="U5" i="8"/>
  <c r="T5" i="8"/>
  <c r="AA8" i="8"/>
  <c r="AA6" i="8"/>
  <c r="AA5" i="8"/>
  <c r="X5" i="8"/>
  <c r="AA4" i="8"/>
  <c r="Z4" i="8"/>
  <c r="Y4" i="8"/>
  <c r="X4" i="8"/>
  <c r="L9" i="8"/>
  <c r="S9" i="8" s="1"/>
  <c r="K9" i="8"/>
  <c r="R9" i="8" s="1"/>
  <c r="J9" i="8"/>
  <c r="Q9" i="8" s="1"/>
  <c r="L8" i="8"/>
  <c r="S8" i="8" s="1"/>
  <c r="Z8" i="8" s="1"/>
  <c r="K8" i="8"/>
  <c r="R8" i="8" s="1"/>
  <c r="Y8" i="8" s="1"/>
  <c r="J8" i="8"/>
  <c r="Q8" i="8" s="1"/>
  <c r="X8" i="8" s="1"/>
  <c r="L7" i="8"/>
  <c r="S7" i="8" s="1"/>
  <c r="Z7" i="8" s="1"/>
  <c r="K7" i="8"/>
  <c r="R7" i="8" s="1"/>
  <c r="Y7" i="8" s="1"/>
  <c r="J7" i="8"/>
  <c r="Q7" i="8" s="1"/>
  <c r="X7" i="8" s="1"/>
  <c r="J4" i="8"/>
  <c r="K4" i="8"/>
  <c r="L4" i="8"/>
  <c r="I5" i="8"/>
  <c r="I6" i="8"/>
  <c r="I7" i="8"/>
  <c r="I8" i="8"/>
  <c r="I9" i="8"/>
  <c r="I4" i="8"/>
  <c r="J5" i="8"/>
  <c r="K5" i="8"/>
  <c r="R5" i="8" s="1"/>
  <c r="Y5" i="8" s="1"/>
  <c r="L5" i="8"/>
  <c r="S5" i="8" s="1"/>
  <c r="Z5" i="8" s="1"/>
  <c r="J6" i="8"/>
  <c r="Q6" i="8" s="1"/>
  <c r="X6" i="8" s="1"/>
  <c r="K6" i="8"/>
  <c r="R6" i="8" s="1"/>
  <c r="Y6" i="8" s="1"/>
  <c r="L6" i="8"/>
  <c r="S6" i="8" s="1"/>
  <c r="Z6" i="8" s="1"/>
  <c r="H6" i="8"/>
  <c r="H7" i="8"/>
  <c r="H8" i="8"/>
  <c r="H9" i="8"/>
  <c r="H5" i="8"/>
  <c r="I4" i="5"/>
  <c r="J4" i="5"/>
  <c r="K4" i="5"/>
  <c r="H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<sst xmlns="http://schemas.openxmlformats.org/spreadsheetml/2006/main" count="14633" uniqueCount="2542">
  <si>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</si>
  <si>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</si>
  <si>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</si>
  <si>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</si>
  <si>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</si>
  <si>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</si>
  <si>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</si>
  <si>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</si>
  <si>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</si>
  <si>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</si>
  <si>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</si>
  <si>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</si>
  <si>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</si>
  <si>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</si>
  <si>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</si>
  <si>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</si>
  <si>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</si>
  <si>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</si>
  <si>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</si>
  <si>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</si>
  <si>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</si>
  <si>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</si>
  <si>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</si>
  <si>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</si>
  <si>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</si>
  <si>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</si>
  <si>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</si>
  <si>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</si>
  <si>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</si>
  <si>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</si>
  <si>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</si>
  <si>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</si>
  <si>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</si>
  <si>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</si>
  <si>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</si>
  <si>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</si>
  <si>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</si>
  <si>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</si>
  <si>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</si>
  <si>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</si>
  <si>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</si>
  <si>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</si>
  <si>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</si>
  <si>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</si>
  <si>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</si>
  <si>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</si>
  <si>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</si>
  <si>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</si>
  <si>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</si>
  <si>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</si>
  <si>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</si>
  <si>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</si>
  <si>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</si>
  <si>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</si>
  <si>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</si>
  <si>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</si>
  <si>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</si>
  <si>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</si>
  <si>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</si>
  <si>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</si>
  <si>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</si>
  <si>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</si>
  <si>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</si>
  <si>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</si>
  <si>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</si>
  <si>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</si>
  <si>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</si>
  <si>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</si>
  <si>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</si>
  <si>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</si>
  <si>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</si>
  <si>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</si>
  <si>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</si>
  <si>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</si>
  <si>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</si>
  <si>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</si>
  <si>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</si>
  <si>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</si>
  <si>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</si>
  <si>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</si>
  <si>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</si>
  <si>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</si>
  <si>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</si>
  <si>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</si>
  <si>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</si>
  <si>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</si>
  <si>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</si>
  <si>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</si>
  <si>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</si>
  <si>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</si>
  <si>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</si>
  <si>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</si>
  <si>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</si>
  <si>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</si>
  <si>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</si>
  <si>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</si>
  <si>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</si>
  <si>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</si>
  <si>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</si>
  <si>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</si>
  <si>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</si>
  <si>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</si>
  <si>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</si>
  <si>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</si>
  <si>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</si>
  <si>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</si>
  <si>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</si>
  <si>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</si>
  <si>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</si>
  <si>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</si>
  <si>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</si>
  <si>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</si>
  <si>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</si>
  <si>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</si>
  <si>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</si>
  <si>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</si>
  <si>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</si>
  <si>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</si>
  <si>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</si>
  <si>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</si>
  <si>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</si>
  <si>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</si>
  <si>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</si>
  <si>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</si>
  <si>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</si>
  <si>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</si>
  <si>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</si>
  <si>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</si>
  <si>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</si>
  <si>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</si>
  <si>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</si>
  <si>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</si>
  <si>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</si>
  <si>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</si>
  <si>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</si>
  <si>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</si>
  <si>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</si>
  <si>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</si>
  <si>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</si>
  <si>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</si>
  <si>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</si>
  <si>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</si>
  <si>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</si>
  <si>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</si>
  <si>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</si>
  <si>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</si>
  <si>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</si>
  <si>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</si>
  <si>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</si>
  <si>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</si>
  <si>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</si>
  <si>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</si>
  <si>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</si>
  <si>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</si>
  <si>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</si>
  <si>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</si>
  <si>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</si>
  <si>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</si>
  <si>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</si>
  <si>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</si>
  <si>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</si>
  <si>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</si>
  <si>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</si>
  <si>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</si>
  <si>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</si>
  <si>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</si>
  <si>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</si>
  <si>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</si>
  <si>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</si>
  <si>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</si>
  <si>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</si>
  <si>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</si>
  <si>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</si>
  <si>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</si>
  <si>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</si>
  <si>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</si>
  <si>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</si>
  <si>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</si>
  <si>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</si>
  <si>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</si>
  <si>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</si>
  <si>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</si>
  <si>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</si>
  <si>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</si>
  <si>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</si>
  <si>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</si>
  <si>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</si>
  <si>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</si>
  <si>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</si>
  <si>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</si>
  <si>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</si>
  <si>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</si>
  <si>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</si>
  <si>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</si>
  <si>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</si>
  <si>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</si>
  <si>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</si>
  <si>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</si>
  <si>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</si>
  <si>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</si>
  <si>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</si>
  <si>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</si>
  <si>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</si>
  <si>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</si>
  <si>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</si>
  <si>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</si>
  <si>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</si>
  <si>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</si>
  <si>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</si>
  <si>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</si>
  <si>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</si>
  <si>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</si>
  <si>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</si>
  <si>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</si>
  <si>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</si>
  <si>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</si>
  <si>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</si>
  <si>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</si>
  <si>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</si>
  <si>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</si>
  <si>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</si>
  <si>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</si>
  <si>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</si>
  <si>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</si>
  <si>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</si>
  <si>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</si>
  <si>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</si>
  <si>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</si>
  <si>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</si>
  <si>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</si>
  <si>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</si>
  <si>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</si>
  <si>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</si>
  <si>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</si>
  <si>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</si>
  <si>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</si>
  <si>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</si>
  <si>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</si>
  <si>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</si>
  <si>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</si>
  <si>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</si>
  <si>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</si>
  <si>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</si>
  <si>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</si>
  <si>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</si>
  <si>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</si>
  <si>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</si>
  <si>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</si>
  <si>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</si>
  <si>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</si>
  <si>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</si>
  <si>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</si>
  <si>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</si>
  <si>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</si>
  <si>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</si>
  <si>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</si>
  <si>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</si>
  <si>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</si>
  <si>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</si>
  <si>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</si>
  <si>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</si>
  <si>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</si>
  <si>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</si>
  <si>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</si>
  <si>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</si>
  <si>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</si>
  <si>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</si>
  <si>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</si>
  <si>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</si>
  <si>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</si>
  <si>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</si>
  <si>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</si>
  <si>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</si>
  <si>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</si>
  <si>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</si>
  <si>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</si>
  <si>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</si>
  <si>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</si>
  <si>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</si>
  <si>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</si>
  <si>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</si>
  <si>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</si>
  <si>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</si>
  <si>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</si>
  <si>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</si>
  <si>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</si>
  <si>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</si>
  <si>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</si>
  <si>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</si>
  <si>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</si>
  <si>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</si>
  <si>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</si>
  <si>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</si>
  <si>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</si>
  <si>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</si>
  <si>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</si>
  <si>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</si>
  <si>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</si>
  <si>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</si>
  <si>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</si>
  <si>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</si>
  <si>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</si>
  <si>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</si>
  <si>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</si>
  <si>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</si>
  <si>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</si>
  <si>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</si>
  <si>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</si>
  <si>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</si>
  <si>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</si>
  <si>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</si>
  <si>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</si>
  <si>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</si>
  <si>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</si>
  <si>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</si>
  <si>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</si>
  <si>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</si>
  <si>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</si>
  <si>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</si>
  <si>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</si>
  <si>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</si>
  <si>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</si>
  <si>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</si>
  <si>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</si>
  <si>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</si>
  <si>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</si>
  <si>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</si>
  <si>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</si>
  <si>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</si>
  <si>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</si>
  <si>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</si>
  <si>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</si>
  <si>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</si>
  <si>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</si>
  <si>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</si>
  <si>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</si>
  <si>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</si>
  <si>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</si>
  <si>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</si>
  <si>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</si>
  <si>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</si>
  <si>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</si>
  <si>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</si>
  <si>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</si>
  <si>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</si>
  <si>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</si>
  <si>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</si>
  <si>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</si>
  <si>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</si>
  <si>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</si>
  <si>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</si>
  <si>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</si>
  <si>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</si>
  <si>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</si>
  <si>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</si>
  <si>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</si>
  <si>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</si>
  <si>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</si>
  <si>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</si>
  <si>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</si>
  <si>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</si>
  <si>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</si>
  <si>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</si>
  <si>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</si>
  <si>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</si>
  <si>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</si>
  <si>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</si>
  <si>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</si>
  <si>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</si>
  <si>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</si>
  <si>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</si>
  <si>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</si>
  <si>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</si>
  <si>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</si>
  <si>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</si>
  <si>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</si>
  <si>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</si>
  <si>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</si>
  <si>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</si>
  <si>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</si>
  <si>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</si>
  <si>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</si>
  <si>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</si>
  <si>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</si>
  <si>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</si>
  <si>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</si>
  <si>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</si>
  <si>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</si>
  <si>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</si>
  <si>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</si>
  <si>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</si>
  <si>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</si>
  <si>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</si>
  <si>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</si>
  <si>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</si>
  <si>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</si>
  <si>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</si>
  <si>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</si>
  <si>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</si>
  <si>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</si>
  <si>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</si>
  <si>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</si>
  <si>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</si>
  <si>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</si>
  <si>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</si>
  <si>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</si>
  <si>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</si>
  <si>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</si>
  <si>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</si>
  <si>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</si>
  <si>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</si>
  <si>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</si>
  <si>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</si>
  <si>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</si>
  <si>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</si>
  <si>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</si>
  <si>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</si>
  <si>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</si>
  <si>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</si>
  <si>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</si>
  <si>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</si>
  <si>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</si>
  <si>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</si>
  <si>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</si>
  <si>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</si>
  <si>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</si>
  <si>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</si>
  <si>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</si>
  <si>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</si>
  <si>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</si>
  <si>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</si>
  <si>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</si>
  <si>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</si>
  <si>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</si>
  <si>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</si>
  <si>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</si>
  <si>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</si>
  <si>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</si>
  <si>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</si>
  <si>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</si>
  <si>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</si>
  <si>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</si>
  <si>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</si>
  <si>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</si>
  <si>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</si>
  <si>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</si>
  <si>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</si>
  <si>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</si>
  <si>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</si>
  <si>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</si>
  <si>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</si>
  <si>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</si>
  <si>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</si>
  <si>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</si>
  <si>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</si>
  <si>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</si>
  <si>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</si>
  <si>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</si>
  <si>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</si>
  <si>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</si>
  <si>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</si>
  <si>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</si>
  <si>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</si>
  <si>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</si>
  <si>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</si>
  <si>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</si>
  <si>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</si>
  <si>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</si>
  <si>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</si>
  <si>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</si>
  <si>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</si>
  <si>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</si>
  <si>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</si>
  <si>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</si>
  <si>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</si>
  <si>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</si>
  <si>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</si>
  <si>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</si>
  <si>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</si>
  <si>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</si>
  <si>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</si>
  <si>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</si>
  <si>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</si>
  <si>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</si>
  <si>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</si>
  <si>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</si>
  <si>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</si>
  <si>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</si>
  <si>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</si>
  <si>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</si>
  <si>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</si>
  <si>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</si>
  <si>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</si>
  <si>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</si>
  <si>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</si>
  <si>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</si>
  <si>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</si>
  <si>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</si>
  <si>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</si>
  <si>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</si>
  <si>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</si>
  <si>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</si>
  <si>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</si>
  <si>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</si>
  <si>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</si>
  <si>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</si>
  <si>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</si>
  <si>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</si>
  <si>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</si>
  <si>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</si>
  <si>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</si>
  <si>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</si>
  <si>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</si>
  <si>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</si>
  <si>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</si>
  <si>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</si>
  <si>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</si>
  <si>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</si>
  <si>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</si>
  <si>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</si>
  <si>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</si>
  <si>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</si>
  <si>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</si>
  <si>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</si>
  <si>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</si>
  <si>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</si>
  <si>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</si>
  <si>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</si>
  <si>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</si>
  <si>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</si>
  <si>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</si>
  <si>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</si>
  <si>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</si>
  <si>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</si>
  <si>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</si>
  <si>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</si>
  <si>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</si>
  <si>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</si>
  <si>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</si>
  <si>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</si>
  <si>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</si>
  <si>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</si>
  <si>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</si>
  <si>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</si>
  <si>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</si>
  <si>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</si>
  <si>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</si>
  <si>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</si>
  <si>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</si>
  <si>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</si>
  <si>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</si>
  <si>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</si>
  <si>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</si>
  <si>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</si>
  <si>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</si>
  <si>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</si>
  <si>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</si>
  <si>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</si>
  <si>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</si>
  <si>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</si>
  <si>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</si>
  <si>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</si>
  <si>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</si>
  <si>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</si>
  <si>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</si>
  <si>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</si>
  <si>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</si>
  <si>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</si>
  <si>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</si>
  <si>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</si>
  <si>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</si>
  <si>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</si>
  <si>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</si>
  <si>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</si>
  <si>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</si>
  <si>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</si>
  <si>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</si>
  <si>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</si>
  <si>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</si>
  <si>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</si>
  <si>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</si>
  <si>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</si>
  <si>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</si>
  <si>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</si>
  <si>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</si>
  <si>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</si>
  <si>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</si>
  <si>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</si>
  <si>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</si>
  <si>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</si>
  <si>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</si>
  <si>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</si>
  <si>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</si>
  <si>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</si>
  <si>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</si>
  <si>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</si>
  <si>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</si>
  <si>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</si>
  <si>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</si>
  <si>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</si>
  <si>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</si>
  <si>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</si>
  <si>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</si>
  <si>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</si>
  <si>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</si>
  <si>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</si>
  <si>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</si>
  <si>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</si>
  <si>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</si>
  <si>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</si>
  <si>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</si>
  <si>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</si>
  <si>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</si>
  <si>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</si>
  <si>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</si>
  <si>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</si>
  <si>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</si>
  <si>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</si>
  <si>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</si>
  <si>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</si>
  <si>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</si>
  <si>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</si>
  <si>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</si>
  <si>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</si>
  <si>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</si>
  <si>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</si>
  <si>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</si>
  <si>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</si>
  <si>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</si>
  <si>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</si>
  <si>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</si>
  <si>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</si>
  <si>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</si>
  <si>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</si>
  <si>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</si>
  <si>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</si>
  <si>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</si>
  <si>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</si>
  <si>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</si>
  <si>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</si>
  <si>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</si>
  <si>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</si>
  <si>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</si>
  <si>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</si>
  <si>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</si>
  <si>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</si>
  <si>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</si>
  <si>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</si>
  <si>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</si>
  <si>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</si>
  <si>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</si>
  <si>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</si>
  <si>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</si>
  <si>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</si>
  <si>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</si>
  <si>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</si>
  <si>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</si>
  <si>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</si>
  <si>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</si>
  <si>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</si>
  <si>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</si>
  <si>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</si>
  <si>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</si>
  <si>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</si>
  <si>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</si>
  <si>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</si>
  <si>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</si>
  <si>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</si>
  <si>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</si>
  <si>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</si>
  <si>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</si>
  <si>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</si>
  <si>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</si>
  <si>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</si>
  <si>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</si>
  <si>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</si>
  <si>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</si>
  <si>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</si>
  <si>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</si>
  <si>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</si>
  <si>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</si>
  <si>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</si>
  <si>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</si>
  <si>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</si>
  <si>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</si>
  <si>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</si>
  <si>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</si>
  <si>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</si>
  <si>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</si>
  <si>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</si>
  <si>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</si>
  <si>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</si>
  <si>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</si>
  <si>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</si>
  <si>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</si>
  <si>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</si>
  <si>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</si>
  <si>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</si>
  <si>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</si>
  <si>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</si>
  <si>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</si>
  <si>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</si>
  <si>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</si>
  <si>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</si>
  <si>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</si>
  <si>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</si>
  <si>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</si>
  <si>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</si>
  <si>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</si>
  <si>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</si>
  <si>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</si>
  <si>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</si>
  <si>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</si>
  <si>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</si>
  <si>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</si>
  <si>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</si>
  <si>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</si>
  <si>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</si>
  <si>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</si>
  <si>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</si>
  <si>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</si>
  <si>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</si>
  <si>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</si>
  <si>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</si>
  <si>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</si>
  <si>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</si>
  <si>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</si>
  <si>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</si>
  <si>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</si>
  <si>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</si>
  <si>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</si>
  <si>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</si>
  <si>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</si>
  <si>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</si>
  <si>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</si>
  <si>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</si>
  <si>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</si>
  <si>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</si>
  <si>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</si>
  <si>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</si>
  <si>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</si>
  <si>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</si>
  <si>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</si>
  <si>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</si>
  <si>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</si>
  <si>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</si>
  <si>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</si>
  <si>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</si>
  <si>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</si>
  <si>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</si>
  <si>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</si>
  <si>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</si>
  <si>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</si>
  <si>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</si>
  <si>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</si>
  <si>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</si>
  <si>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</si>
  <si>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</si>
  <si>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</si>
  <si>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</si>
  <si>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</si>
  <si>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</si>
  <si>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</si>
  <si>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</si>
  <si>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</si>
  <si>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</si>
  <si>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</si>
  <si>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</si>
  <si>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</si>
  <si>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</si>
  <si>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</si>
  <si>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</si>
  <si>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</si>
  <si>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</si>
  <si>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</si>
  <si>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</si>
  <si>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</si>
  <si>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</si>
  <si>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</si>
  <si>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</si>
  <si>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</si>
  <si>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</si>
  <si>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</si>
  <si>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</si>
  <si>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</si>
  <si>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</si>
  <si>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</si>
  <si>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</si>
  <si>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</si>
  <si>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</si>
  <si>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</si>
  <si>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</si>
  <si>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</si>
  <si>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</si>
  <si>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</si>
  <si>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</si>
  <si>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</si>
  <si>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</si>
  <si>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</si>
  <si>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</si>
  <si>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</si>
  <si>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</si>
  <si>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</si>
  <si>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</si>
  <si>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</si>
  <si>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</si>
  <si>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</si>
  <si>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</si>
  <si>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</si>
  <si>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</si>
  <si>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</si>
  <si>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</si>
  <si>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</si>
  <si>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</si>
  <si>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</si>
  <si>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</si>
  <si>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</si>
  <si>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</si>
  <si>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</si>
  <si>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</si>
  <si>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</si>
  <si>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</si>
  <si>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</si>
  <si>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</si>
  <si>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</si>
  <si>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</si>
  <si>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</si>
  <si>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</si>
  <si>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</si>
  <si>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</si>
  <si>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</si>
  <si>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</si>
  <si>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</si>
  <si>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</si>
  <si>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</si>
  <si>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</si>
  <si>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</si>
  <si>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</si>
  <si>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</si>
  <si>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</si>
  <si>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</si>
  <si>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</si>
  <si>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</si>
  <si>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</si>
  <si>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</si>
  <si>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</si>
  <si>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</si>
  <si>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</si>
  <si>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</si>
  <si>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</si>
  <si>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</si>
  <si>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</si>
  <si>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</si>
  <si>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</si>
  <si>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</si>
  <si>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</si>
  <si>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</si>
  <si>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</si>
  <si>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</si>
  <si>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</si>
  <si>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</si>
  <si>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</si>
  <si>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</si>
  <si>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</si>
  <si>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</si>
  <si>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</si>
  <si>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</si>
  <si>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</si>
  <si>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</si>
  <si>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</si>
  <si>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</si>
  <si>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</si>
  <si>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</si>
  <si>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</si>
  <si>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</si>
  <si>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</si>
  <si>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</si>
  <si>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</si>
  <si>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</si>
  <si>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</si>
  <si>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</si>
  <si>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</si>
  <si>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</si>
  <si>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</si>
  <si>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</si>
  <si>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</si>
  <si>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</si>
  <si>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</si>
  <si>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</si>
  <si>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</si>
  <si>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</si>
  <si>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</si>
  <si>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</si>
  <si>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</si>
  <si>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</si>
  <si>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</si>
  <si>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</si>
  <si>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</si>
  <si>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</si>
  <si>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</si>
  <si>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</si>
  <si>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</si>
  <si>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</si>
  <si>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</si>
  <si>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</si>
  <si>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</si>
  <si>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</si>
  <si>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</si>
  <si>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</si>
  <si>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</si>
  <si>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</si>
  <si>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</si>
  <si>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</si>
  <si>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</si>
  <si>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</si>
  <si>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</si>
  <si>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</si>
  <si>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</si>
  <si>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</si>
  <si>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</si>
  <si>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</si>
  <si>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</si>
  <si>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</si>
  <si>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</si>
  <si>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</si>
  <si>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</si>
  <si>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</si>
  <si>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</si>
  <si>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</si>
  <si>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</si>
  <si>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</si>
  <si>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</si>
  <si>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</si>
  <si>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</si>
  <si>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</si>
  <si>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</si>
  <si>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</si>
  <si>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</si>
  <si>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</si>
  <si>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</si>
  <si>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</si>
  <si>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</si>
  <si>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</si>
  <si>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</si>
  <si>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</si>
  <si>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</si>
  <si>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</si>
  <si>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</si>
  <si>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</si>
  <si>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</si>
  <si>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</si>
  <si>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</si>
  <si>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</si>
  <si>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</si>
  <si>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</si>
  <si>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</si>
  <si>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</si>
  <si>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</si>
  <si>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</si>
  <si>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</si>
  <si>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</si>
  <si>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</si>
  <si>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</si>
  <si>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</si>
  <si>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</si>
  <si>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</si>
  <si>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</si>
  <si>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</si>
  <si>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</si>
  <si>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</si>
  <si>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</si>
  <si>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</si>
  <si>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</si>
  <si>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</si>
  <si>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</si>
  <si>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</si>
  <si>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</si>
  <si>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</si>
  <si>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</si>
  <si>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</si>
  <si>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</si>
  <si>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</si>
  <si>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</si>
  <si>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</si>
  <si>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</si>
  <si>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</si>
  <si>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</si>
  <si>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</si>
  <si>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</si>
  <si>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</si>
  <si>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</si>
  <si>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</si>
  <si>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</si>
  <si>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</si>
  <si>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</si>
  <si>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</si>
  <si>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</si>
  <si>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</si>
  <si>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</si>
  <si>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</si>
  <si>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</si>
  <si>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</si>
  <si>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</si>
  <si>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</si>
  <si>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</si>
  <si>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</si>
  <si>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</si>
  <si>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</si>
  <si>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</si>
  <si>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</si>
  <si>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</si>
  <si>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</si>
  <si>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</si>
  <si>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</si>
  <si>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</si>
  <si>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</si>
  <si>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</si>
  <si>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</si>
  <si>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</si>
  <si>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</si>
  <si>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</si>
  <si>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</si>
  <si>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</si>
  <si>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</si>
  <si>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</si>
  <si>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</si>
  <si>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</si>
  <si>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</si>
  <si>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</si>
  <si>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</si>
  <si>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</si>
  <si>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</si>
  <si>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</si>
  <si>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</si>
  <si>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</si>
  <si>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</si>
  <si>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</si>
  <si>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</si>
  <si>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</si>
  <si>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</si>
  <si>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</si>
  <si>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</si>
  <si>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</si>
  <si>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</si>
  <si>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</si>
  <si>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</si>
  <si>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</si>
  <si>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</si>
  <si>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</si>
  <si>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</si>
  <si>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</si>
  <si>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</si>
  <si>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</si>
  <si>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</si>
  <si>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</si>
  <si>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</si>
  <si>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</si>
  <si>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</si>
  <si>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</si>
  <si>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</si>
  <si>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</si>
  <si>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</si>
  <si>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</si>
  <si>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</si>
  <si>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</si>
  <si>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</si>
  <si>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</si>
  <si>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</si>
  <si>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</si>
  <si>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</si>
  <si>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</si>
  <si>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</si>
  <si>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</si>
  <si>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</si>
  <si>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</si>
  <si>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</si>
  <si>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</si>
  <si>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</si>
  <si>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</si>
  <si>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</si>
  <si>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</si>
  <si>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</si>
  <si>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</si>
  <si>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</si>
  <si>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</si>
  <si>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</si>
  <si>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</si>
  <si>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</si>
  <si>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</si>
  <si>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</si>
  <si>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</si>
  <si>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</si>
  <si>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</si>
  <si>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</si>
  <si>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</si>
  <si>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</si>
  <si>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</si>
  <si>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</si>
  <si>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</si>
  <si>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</si>
  <si>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</si>
  <si>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</si>
  <si>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</si>
  <si>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</si>
  <si>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</si>
  <si>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</si>
  <si>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</si>
  <si>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</si>
  <si>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</si>
  <si>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</si>
  <si>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</si>
  <si>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</si>
  <si>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</si>
  <si>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</si>
  <si>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</si>
  <si>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</si>
  <si>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</si>
  <si>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</si>
  <si>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</si>
  <si>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</si>
  <si>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</si>
  <si>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</si>
  <si>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</si>
  <si>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</si>
  <si>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</si>
  <si>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</si>
  <si>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</si>
  <si>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</si>
  <si>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</si>
  <si>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</si>
  <si>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</si>
  <si>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</si>
  <si>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</si>
  <si>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</si>
  <si>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</si>
  <si>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</si>
  <si>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</si>
  <si>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</si>
  <si>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</si>
  <si>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</si>
  <si>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</si>
  <si>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</si>
  <si>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</si>
  <si>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</si>
  <si>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</si>
  <si>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</si>
  <si>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</si>
  <si>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</si>
  <si>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</si>
  <si>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</si>
  <si>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</si>
  <si>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</si>
  <si>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</si>
  <si>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</si>
  <si>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</si>
  <si>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</si>
  <si>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</si>
  <si>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</si>
  <si>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</si>
  <si>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</si>
  <si>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</si>
  <si>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</si>
  <si>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</si>
  <si>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</si>
  <si>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</si>
  <si>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</si>
  <si>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</si>
  <si>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</si>
  <si>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</si>
  <si>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</si>
  <si>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</si>
  <si>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</si>
  <si>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</si>
  <si>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</si>
  <si>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</si>
  <si>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</si>
  <si>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</si>
  <si>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</si>
  <si>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</si>
  <si>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</si>
  <si>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</si>
  <si>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</si>
  <si>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</si>
  <si>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</si>
  <si>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</si>
  <si>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</si>
  <si>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</si>
  <si>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</si>
  <si>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</si>
  <si>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</si>
  <si>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</si>
  <si>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</si>
  <si>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</si>
  <si>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</si>
  <si>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</si>
  <si>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</si>
  <si>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</si>
  <si>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</si>
  <si>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</si>
  <si>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</si>
  <si>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</si>
  <si>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</si>
  <si>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</si>
  <si>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</si>
  <si>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</si>
  <si>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</si>
  <si>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</si>
  <si>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</si>
  <si>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</si>
  <si>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</si>
  <si>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</si>
  <si>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</si>
  <si>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</si>
  <si>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</si>
  <si>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</si>
  <si>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</si>
  <si>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</si>
  <si>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</si>
  <si>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</si>
  <si>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</si>
  <si>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</si>
  <si>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</si>
  <si>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</si>
  <si>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</si>
  <si>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</si>
  <si>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</si>
  <si>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</si>
  <si>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</si>
  <si>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</si>
  <si>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</si>
  <si>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</si>
  <si>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</si>
  <si>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</si>
  <si>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</si>
  <si>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</si>
  <si>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</si>
  <si>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</si>
  <si>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</si>
  <si>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</si>
  <si>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</si>
  <si>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</si>
  <si>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</si>
  <si>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</si>
  <si>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</si>
  <si>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</si>
  <si>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</si>
  <si>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</si>
  <si>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</si>
  <si>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</si>
  <si>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</si>
  <si>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</si>
  <si>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</si>
  <si>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</si>
  <si>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</si>
  <si>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</si>
  <si>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</si>
  <si>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</si>
  <si>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</si>
  <si>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</si>
  <si>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</si>
  <si>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</si>
  <si>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</si>
  <si>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</si>
  <si>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</si>
  <si>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</si>
  <si>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</si>
  <si>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</si>
  <si>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</si>
  <si>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</si>
  <si>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</si>
  <si>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</si>
  <si>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</si>
  <si>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</si>
  <si>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</si>
  <si>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</si>
  <si>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</si>
  <si>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</si>
  <si>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</si>
  <si>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</si>
  <si>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</si>
  <si>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</si>
  <si>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</si>
  <si>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</si>
  <si>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</si>
  <si>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</si>
  <si>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</si>
  <si>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</si>
  <si>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</si>
  <si>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</si>
  <si>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</si>
  <si>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</si>
  <si>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</si>
  <si>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</si>
  <si>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</si>
  <si>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</si>
  <si>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</si>
  <si>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</si>
  <si>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</si>
  <si>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</si>
  <si>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</si>
  <si>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</si>
  <si>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</si>
  <si>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</si>
  <si>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</si>
  <si>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</si>
  <si>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</si>
  <si>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</si>
  <si>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</si>
  <si>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</si>
  <si>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</si>
  <si>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</si>
  <si>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</si>
  <si>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</si>
  <si>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</si>
  <si>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</si>
  <si>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</si>
  <si>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</si>
  <si>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</si>
  <si>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</si>
  <si>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</si>
  <si>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</si>
  <si>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</si>
  <si>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</si>
  <si>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</si>
  <si>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</si>
  <si>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</si>
  <si>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</si>
  <si>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</si>
  <si>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</si>
  <si>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</si>
  <si>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</si>
  <si>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</si>
  <si>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</si>
  <si>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</si>
  <si>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</si>
  <si>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</si>
  <si>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</si>
  <si>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</si>
  <si>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</si>
  <si>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</si>
  <si>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</si>
  <si>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</si>
  <si>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</si>
  <si>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</si>
  <si>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</si>
  <si>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</si>
  <si>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</si>
  <si>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</si>
  <si>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</si>
  <si>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</si>
  <si>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</si>
  <si>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</si>
  <si>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</si>
  <si>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</si>
  <si>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</si>
  <si>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</si>
  <si>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</si>
  <si>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</si>
  <si>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</si>
  <si>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</si>
  <si>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</si>
  <si>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</si>
  <si>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</si>
  <si>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</si>
  <si>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</si>
  <si>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</si>
  <si>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</si>
  <si>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</si>
  <si>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</si>
  <si>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</si>
  <si>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</si>
  <si>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</si>
  <si>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</si>
  <si>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</si>
  <si>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</si>
  <si>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</si>
  <si>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</si>
  <si>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</si>
  <si>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</si>
  <si>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</si>
  <si>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</si>
  <si>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</si>
  <si>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</si>
  <si>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</si>
  <si>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</si>
  <si>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</si>
  <si>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</si>
  <si>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</si>
  <si>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</si>
  <si>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</si>
  <si>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</si>
  <si>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</si>
  <si>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</si>
  <si>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</si>
  <si>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</si>
  <si>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</si>
  <si>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</si>
  <si>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</si>
  <si>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</si>
  <si>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</si>
  <si>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</si>
  <si>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</si>
  <si>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</si>
  <si>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</si>
  <si>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</si>
  <si>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</si>
  <si>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</si>
  <si>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</si>
  <si>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</si>
  <si>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</si>
  <si>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</si>
  <si>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</si>
  <si>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</si>
  <si>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</si>
  <si>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</si>
  <si>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</si>
  <si>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</si>
  <si>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</si>
  <si>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</si>
  <si>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</si>
  <si>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</si>
  <si>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</si>
  <si>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</si>
  <si>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</si>
  <si>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</si>
  <si>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</si>
  <si>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</si>
  <si>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</si>
  <si>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</si>
  <si>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</si>
  <si>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</si>
  <si>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</si>
  <si>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</si>
  <si>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</si>
  <si>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</si>
  <si>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</si>
  <si>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</si>
  <si>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</si>
  <si>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</si>
  <si>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</si>
  <si>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</si>
  <si>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</si>
  <si>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</si>
  <si>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</si>
  <si>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</si>
  <si>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</si>
  <si>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</si>
  <si>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</si>
  <si>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</si>
  <si>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</si>
  <si>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</si>
  <si>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</si>
  <si>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</si>
  <si>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</si>
  <si>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</si>
  <si>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</si>
  <si>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</si>
  <si>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</si>
  <si>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</si>
  <si>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</si>
  <si>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</si>
  <si>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</si>
  <si>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</si>
  <si>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</si>
  <si>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</si>
  <si>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</si>
  <si>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</si>
  <si>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</si>
  <si>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</si>
  <si>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</si>
  <si>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</si>
  <si>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</si>
  <si>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</si>
  <si>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</si>
  <si>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</si>
  <si>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</si>
  <si>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</si>
  <si>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</si>
  <si>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</si>
  <si>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</si>
  <si>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</si>
  <si>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</si>
  <si>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</si>
  <si>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</si>
  <si>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</si>
  <si>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</si>
  <si>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</si>
  <si>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</si>
  <si>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</si>
  <si>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</si>
  <si>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</si>
  <si>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</si>
  <si>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</si>
  <si>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</si>
  <si>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</si>
  <si>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</si>
  <si>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</si>
  <si>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</si>
  <si>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</si>
  <si>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</si>
  <si>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</si>
  <si>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</si>
  <si>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</si>
  <si>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</si>
  <si>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</si>
  <si>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</si>
  <si>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</si>
  <si>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</si>
  <si>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</si>
  <si>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</si>
  <si>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</si>
  <si>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</si>
  <si>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</si>
  <si>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</si>
  <si>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</si>
  <si>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</si>
  <si>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</si>
  <si>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</si>
  <si>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</si>
  <si>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</si>
  <si>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</si>
  <si>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</si>
  <si>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</si>
  <si>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</si>
  <si>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</si>
  <si>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</si>
  <si>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</si>
  <si>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</si>
  <si>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</si>
  <si>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</si>
  <si>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</si>
  <si>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</si>
  <si>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</si>
  <si>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</si>
  <si>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</si>
  <si>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</si>
  <si>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</si>
  <si>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</si>
  <si>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</si>
  <si>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</si>
  <si>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</si>
  <si>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</si>
  <si>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</si>
  <si>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</si>
  <si>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</si>
  <si>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</si>
  <si>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</si>
  <si>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</si>
  <si>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</si>
  <si>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</si>
  <si>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</si>
  <si>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</si>
  <si>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</si>
  <si>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</si>
  <si>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</si>
  <si>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</si>
  <si>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</si>
  <si>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</si>
  <si>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</si>
  <si>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</si>
  <si>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</si>
  <si>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</si>
  <si>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</si>
  <si>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</si>
  <si>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</si>
  <si>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</si>
  <si>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</si>
  <si>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</si>
  <si>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</si>
  <si>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</si>
  <si>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</si>
  <si>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</si>
  <si>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</si>
  <si>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</si>
  <si>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</si>
  <si>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</si>
  <si>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</si>
  <si>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</si>
  <si>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</si>
  <si>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</si>
  <si>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</si>
  <si>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</si>
  <si>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</si>
  <si>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</si>
  <si>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</si>
  <si>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</si>
  <si>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</si>
  <si>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</si>
  <si>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</si>
  <si>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</si>
  <si>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</si>
  <si>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</si>
  <si>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</si>
  <si>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</si>
  <si>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</si>
  <si>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</si>
  <si>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</si>
  <si>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</si>
  <si>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</si>
  <si>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</si>
  <si>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</si>
  <si>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</si>
  <si>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</si>
  <si>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</si>
  <si>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</si>
  <si>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</si>
  <si>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</si>
  <si>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</si>
  <si>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</si>
  <si>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</si>
  <si>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</si>
  <si>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</si>
  <si>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</si>
  <si>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</si>
  <si>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</si>
  <si>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</si>
  <si>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</si>
  <si>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</si>
  <si>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</si>
  <si>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</si>
  <si>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</si>
  <si>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</si>
  <si>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</si>
  <si>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</si>
  <si>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</si>
  <si>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</si>
  <si>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</si>
  <si>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</si>
  <si>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</si>
  <si>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</si>
  <si>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</si>
  <si>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</si>
  <si>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</si>
  <si>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</si>
  <si>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</si>
  <si>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</si>
  <si>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</si>
  <si>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</si>
  <si>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</si>
  <si>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</si>
  <si>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</si>
  <si>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</si>
  <si>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</si>
  <si>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</si>
  <si>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</si>
  <si>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</si>
  <si>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</si>
  <si>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</si>
  <si>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</si>
  <si>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</si>
  <si>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</si>
  <si>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</si>
  <si>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</si>
  <si>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</si>
  <si>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</si>
  <si>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</si>
  <si>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</si>
  <si>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</si>
  <si>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</si>
  <si>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</si>
  <si>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</si>
  <si>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</si>
  <si>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</si>
  <si>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</si>
  <si>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</si>
  <si>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</si>
  <si>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</si>
  <si>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</si>
  <si>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</si>
  <si>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</si>
  <si>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</si>
  <si>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</si>
  <si>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</si>
  <si>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</si>
  <si>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</si>
  <si>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</si>
  <si>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</si>
  <si>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</si>
  <si>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</si>
  <si>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</si>
  <si>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</si>
  <si>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</si>
  <si>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</si>
  <si>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</si>
  <si>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</si>
  <si>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</si>
  <si>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</si>
  <si>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</si>
  <si>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</si>
  <si>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</si>
  <si>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</si>
  <si>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</si>
  <si>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</si>
  <si>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</si>
  <si>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</si>
  <si>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</si>
  <si>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</si>
  <si>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</si>
  <si>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</si>
  <si>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</si>
  <si>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</si>
  <si>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</si>
  <si>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</si>
  <si>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</si>
  <si>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</si>
  <si>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</si>
  <si>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</si>
  <si>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</si>
  <si>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</si>
  <si>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</si>
  <si>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</si>
  <si>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</si>
  <si>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</si>
  <si>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</si>
  <si>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</si>
  <si>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</si>
  <si>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</si>
  <si>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</si>
  <si>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</si>
  <si>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</si>
  <si>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</si>
  <si>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</si>
  <si>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</si>
  <si>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</si>
  <si>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</si>
  <si>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</si>
  <si>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</si>
  <si>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</si>
  <si>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</si>
  <si>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</si>
  <si>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</si>
  <si>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</si>
  <si>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</si>
  <si>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</si>
  <si>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</si>
  <si>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</si>
  <si>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</si>
  <si>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</si>
  <si>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</si>
  <si>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</si>
  <si>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</si>
  <si>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</si>
  <si>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</si>
  <si>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</si>
  <si>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</si>
  <si>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</si>
  <si>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</si>
  <si>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</si>
  <si>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</si>
  <si>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</si>
  <si>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</si>
  <si>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</si>
  <si>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</si>
  <si>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</si>
  <si>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</si>
  <si>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</si>
  <si>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</si>
  <si>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</si>
  <si>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</si>
  <si>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</si>
  <si>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</si>
  <si>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</si>
  <si>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</si>
  <si>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</si>
  <si>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</si>
  <si>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</si>
  <si>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</si>
  <si>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</si>
  <si>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</si>
  <si>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</si>
  <si>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</si>
  <si>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</si>
  <si>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</si>
  <si>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</si>
  <si>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</si>
  <si>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</si>
  <si>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</si>
  <si>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</si>
  <si>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</si>
  <si>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</si>
  <si>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</si>
  <si>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</si>
  <si>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</si>
  <si>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</si>
  <si>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</si>
  <si>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</si>
  <si>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</si>
  <si>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</si>
  <si>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</si>
  <si>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</si>
  <si>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</si>
  <si>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</si>
  <si>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</si>
  <si>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</si>
  <si>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</si>
  <si>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</si>
  <si>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</si>
  <si>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</si>
  <si>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</si>
  <si>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</si>
  <si>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</si>
  <si>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</si>
  <si>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</si>
  <si>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</si>
  <si>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</si>
  <si>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</si>
  <si>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</si>
  <si>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</si>
  <si>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</si>
  <si>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</si>
  <si>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</si>
  <si>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</si>
  <si>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</si>
  <si>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</si>
  <si>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</si>
  <si>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</si>
  <si>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</si>
  <si>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</si>
  <si>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</si>
  <si>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</si>
  <si>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</si>
  <si>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</si>
  <si>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</si>
  <si>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</si>
  <si>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</si>
  <si>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</si>
  <si>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</si>
  <si>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</si>
  <si>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</si>
  <si>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</si>
  <si>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</si>
  <si>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</si>
  <si>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</si>
  <si>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</si>
  <si>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</si>
  <si>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</si>
  <si>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</si>
  <si>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</si>
  <si>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</si>
  <si>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</si>
  <si>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</si>
  <si>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</si>
  <si>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</si>
  <si>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</si>
  <si>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</si>
  <si>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</si>
  <si>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</si>
  <si>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</si>
  <si>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</si>
  <si>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</si>
  <si>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</si>
  <si>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</si>
  <si>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</si>
  <si>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</si>
  <si>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</si>
  <si>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</si>
  <si>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</si>
  <si>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</si>
  <si>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</si>
  <si>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</si>
  <si>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</si>
  <si>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</si>
  <si>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</si>
  <si>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</si>
  <si>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</si>
  <si>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</si>
  <si>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</si>
  <si>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</si>
  <si>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</si>
  <si>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</si>
  <si>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</si>
  <si>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</si>
  <si>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</si>
  <si>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</si>
  <si>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</si>
  <si>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</si>
  <si>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</si>
  <si>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</si>
  <si>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</si>
  <si>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</si>
  <si>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</si>
  <si>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</si>
  <si>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</si>
  <si>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</si>
  <si>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</si>
  <si>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</si>
  <si>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</si>
  <si>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</si>
  <si>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</si>
  <si>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</si>
  <si>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</si>
  <si>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</si>
  <si>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</si>
  <si>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</si>
  <si>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</si>
  <si>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</si>
  <si>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</si>
  <si>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</si>
  <si>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</si>
  <si>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</si>
  <si>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</si>
  <si>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</si>
  <si>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</si>
  <si>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</si>
  <si>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</si>
  <si>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</si>
  <si>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</si>
  <si>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</si>
  <si>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</si>
  <si>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</si>
  <si>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</si>
  <si>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</si>
  <si>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</si>
  <si>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</si>
  <si>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</si>
  <si>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</si>
  <si>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</si>
  <si>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</si>
  <si>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</si>
  <si>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</si>
  <si>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</si>
  <si>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</si>
  <si>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</si>
  <si>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</si>
  <si>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</si>
  <si>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</si>
  <si>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</si>
  <si>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</si>
  <si>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</si>
  <si>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</si>
  <si>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</si>
  <si>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</si>
  <si>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</si>
  <si>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</si>
  <si>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</si>
  <si>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</si>
  <si>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</si>
  <si>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</si>
  <si>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</si>
  <si>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</si>
  <si>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</si>
  <si>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</si>
  <si>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</si>
  <si>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</si>
  <si>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</si>
  <si>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</si>
  <si>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</si>
  <si>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</si>
  <si>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</si>
  <si>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</si>
  <si>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</si>
  <si>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</si>
  <si>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</si>
  <si>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</si>
  <si>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</si>
  <si>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</si>
  <si>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</si>
  <si>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</si>
  <si>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</si>
  <si>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</si>
  <si>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</si>
  <si>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</si>
  <si>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</si>
  <si>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</si>
  <si>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</si>
  <si>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</si>
  <si>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</si>
  <si>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</si>
  <si>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</si>
  <si>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</si>
  <si>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</si>
  <si>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</si>
  <si>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</si>
  <si>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</si>
  <si>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</si>
  <si>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</si>
  <si>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</si>
  <si>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</si>
  <si>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</si>
  <si>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</si>
  <si>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</si>
  <si>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</si>
  <si>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</si>
  <si>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</si>
  <si>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</si>
  <si>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</si>
  <si>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</si>
  <si>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</si>
  <si>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</si>
  <si>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</si>
  <si>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</si>
  <si>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</si>
  <si>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</si>
  <si>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</si>
  <si>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</si>
  <si>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</si>
  <si>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</si>
  <si>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</si>
  <si>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</si>
  <si>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</si>
  <si>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</si>
  <si>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</si>
  <si>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</si>
  <si>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</si>
  <si>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</si>
  <si>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</si>
  <si>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</si>
  <si>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</si>
  <si>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</si>
  <si>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</si>
  <si>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</si>
  <si>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</si>
  <si>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</si>
  <si>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</si>
  <si>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</si>
  <si>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</si>
  <si>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</si>
  <si>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</si>
  <si>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</si>
  <si>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</si>
  <si>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</si>
  <si>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</si>
  <si>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</si>
  <si>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</si>
  <si>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</si>
  <si>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</si>
  <si>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</si>
  <si>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</si>
  <si>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</si>
  <si>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</si>
  <si>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</si>
  <si>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</si>
  <si>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</si>
  <si>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</si>
  <si>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</si>
  <si>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</si>
  <si>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</si>
  <si>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</si>
  <si>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</si>
  <si>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</si>
  <si>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</si>
  <si>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</si>
  <si>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</si>
  <si>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</si>
  <si>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</si>
  <si>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</si>
  <si>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</si>
  <si>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</si>
  <si>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</si>
  <si>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</si>
  <si>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</si>
  <si>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</si>
  <si>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</si>
  <si>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</si>
  <si>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</si>
  <si>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</si>
  <si>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</si>
  <si>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</si>
  <si>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</si>
  <si>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</si>
  <si>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</si>
  <si>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</si>
  <si>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</si>
  <si>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</si>
  <si>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</si>
  <si>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</si>
  <si>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</si>
  <si>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</si>
  <si>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</si>
  <si>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</si>
  <si>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</si>
  <si>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</si>
  <si>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</si>
  <si>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</si>
  <si>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</si>
  <si>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</si>
  <si>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</si>
  <si>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</si>
  <si>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</si>
  <si>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</si>
  <si>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</si>
  <si>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</si>
  <si>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</si>
  <si>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</si>
  <si>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</si>
  <si>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</si>
  <si>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</si>
  <si>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</si>
  <si>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</si>
  <si>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</si>
  <si>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</si>
  <si>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</si>
  <si>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</si>
  <si>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</si>
  <si>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</si>
  <si>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</si>
  <si>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</si>
  <si>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</si>
  <si>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</si>
  <si>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</si>
  <si>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</si>
  <si>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</si>
  <si>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</si>
  <si>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</si>
  <si>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</si>
  <si>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</si>
  <si>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</si>
  <si>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</si>
  <si>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</si>
  <si>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</si>
  <si>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</si>
  <si>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</si>
  <si>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</si>
  <si>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</si>
  <si>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</si>
  <si>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</si>
  <si>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</si>
  <si>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</si>
  <si>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</si>
  <si>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</si>
  <si>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</si>
  <si>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</si>
  <si>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</si>
  <si>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</si>
  <si>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</si>
  <si>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</si>
  <si>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</si>
  <si>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</si>
  <si>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</si>
  <si>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</si>
  <si>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</si>
  <si>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</si>
  <si>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</si>
  <si>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</si>
  <si>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</si>
  <si>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</si>
  <si>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</si>
  <si>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</si>
  <si>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</si>
  <si>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</si>
  <si>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</si>
  <si>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</si>
  <si>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</si>
  <si>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</si>
  <si>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</si>
  <si>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</si>
  <si>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</si>
  <si>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</si>
  <si>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</si>
  <si>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</si>
  <si>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</si>
  <si>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</si>
  <si>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</si>
  <si>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</si>
  <si>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</si>
  <si>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</si>
  <si>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</si>
  <si>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</si>
  <si>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</si>
  <si>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</si>
  <si>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</si>
  <si>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</si>
  <si>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</si>
  <si>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</si>
  <si>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</si>
  <si>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</si>
  <si>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</si>
  <si>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</si>
  <si>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</si>
  <si>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</si>
  <si>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</si>
  <si>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</si>
  <si>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</si>
  <si>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</si>
  <si>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</si>
  <si>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</si>
  <si>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</si>
  <si>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</si>
  <si>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</si>
  <si>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</si>
  <si>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</si>
  <si>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</si>
  <si>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</si>
  <si>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</si>
  <si>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</si>
  <si>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</si>
  <si>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</si>
  <si>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</si>
  <si>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</si>
  <si>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</si>
  <si>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</si>
  <si>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</si>
  <si>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</si>
  <si>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</si>
  <si>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</si>
  <si>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</si>
  <si>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</si>
  <si>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</si>
  <si>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</si>
  <si>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</si>
  <si>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</si>
  <si>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</si>
  <si>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</si>
  <si>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</si>
  <si>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</si>
  <si>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</si>
  <si>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</si>
  <si>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</si>
  <si>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</si>
  <si>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</si>
  <si>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</si>
  <si>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</si>
  <si>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</si>
  <si>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</si>
  <si>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</si>
  <si>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</si>
  <si>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</si>
  <si>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</si>
  <si>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</si>
  <si>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</si>
  <si>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</si>
  <si>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</si>
  <si>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</si>
  <si>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</si>
  <si>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</si>
  <si>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</si>
  <si>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</si>
  <si>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</si>
  <si>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</si>
  <si>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</si>
  <si>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</si>
  <si>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</si>
  <si>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</si>
  <si>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</si>
  <si>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</si>
  <si>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</si>
  <si>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</si>
  <si>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</si>
  <si>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</si>
  <si>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</si>
  <si>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</si>
  <si>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</si>
  <si>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</si>
  <si>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</si>
  <si>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</si>
  <si>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</si>
  <si>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</si>
  <si>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</si>
  <si>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</si>
  <si>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</si>
  <si>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</si>
  <si>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</si>
  <si>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</si>
  <si>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</si>
  <si>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</si>
  <si>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</si>
  <si>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</si>
  <si>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</si>
  <si>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</si>
  <si>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</si>
  <si>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</si>
  <si>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</si>
  <si>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</si>
  <si>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</si>
  <si>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</si>
  <si>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</si>
  <si>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</si>
  <si>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</si>
  <si>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</si>
  <si>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</si>
  <si>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</si>
  <si>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</si>
  <si>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</si>
  <si>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</si>
  <si>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</si>
  <si>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</si>
  <si>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</si>
  <si>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</si>
  <si>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</si>
  <si>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</si>
  <si>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</si>
  <si>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</si>
  <si>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</si>
  <si>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</si>
  <si>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</si>
  <si>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</si>
  <si>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</si>
  <si>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</si>
  <si>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</si>
  <si>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</si>
  <si>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</si>
  <si>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</si>
  <si>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</si>
  <si>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</si>
  <si>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</si>
  <si>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</si>
  <si>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</si>
  <si>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</si>
  <si>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</si>
  <si>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</si>
  <si>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</si>
  <si>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</si>
  <si>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</si>
  <si>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</si>
  <si>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</si>
  <si>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</si>
  <si>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</si>
  <si>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</si>
  <si>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</si>
  <si>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</si>
  <si>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</si>
  <si>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</si>
  <si>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</si>
  <si>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</si>
  <si>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</si>
  <si>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</si>
  <si>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</si>
  <si>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</si>
  <si>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</si>
  <si>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</si>
  <si>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</si>
  <si>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</si>
  <si>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</si>
  <si>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</si>
  <si>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</si>
  <si>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</si>
  <si>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</si>
  <si>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</si>
  <si>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</si>
  <si>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</si>
  <si>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</si>
  <si>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</si>
  <si>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</si>
  <si>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</si>
  <si>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</si>
  <si>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</si>
  <si>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</si>
  <si>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</si>
  <si>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</si>
  <si>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</si>
  <si>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</si>
  <si>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</si>
  <si>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</si>
  <si>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</si>
  <si>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</si>
  <si>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</si>
  <si>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</si>
  <si>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</si>
  <si>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</si>
  <si>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</si>
  <si>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</si>
  <si>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</si>
  <si>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</si>
  <si>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</si>
  <si>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</si>
  <si>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</si>
  <si>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</si>
  <si>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</si>
  <si>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</si>
  <si>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</si>
  <si>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</si>
  <si>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</si>
  <si>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</si>
  <si>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</si>
  <si>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</si>
  <si>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</si>
  <si>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</si>
  <si>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</si>
  <si>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</si>
  <si>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</si>
  <si>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</si>
  <si>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</si>
  <si>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</si>
  <si>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</si>
  <si>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</si>
  <si>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</si>
  <si>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</si>
  <si>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</si>
  <si>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</si>
  <si>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</si>
  <si>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</si>
  <si>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</si>
  <si>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</si>
  <si>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</si>
  <si>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</si>
  <si>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</si>
  <si>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</si>
  <si>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</si>
  <si>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</si>
  <si>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</si>
  <si>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</si>
  <si>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</si>
  <si>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</si>
  <si>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</si>
  <si>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</si>
  <si>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</si>
  <si>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</si>
  <si>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</si>
  <si>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</si>
  <si>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</si>
  <si>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</si>
  <si>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</si>
  <si>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</si>
  <si>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</si>
  <si>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</si>
  <si>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</si>
  <si>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</si>
  <si>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</si>
  <si>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</si>
  <si>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</si>
  <si>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</si>
  <si>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</si>
  <si>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</si>
  <si>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</si>
  <si>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</si>
  <si>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</si>
  <si>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</si>
  <si>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</si>
  <si>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</si>
  <si>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</si>
  <si>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</si>
  <si>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</si>
  <si>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</si>
  <si>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</si>
  <si>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</si>
  <si>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</si>
  <si>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</si>
  <si>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</si>
  <si>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</si>
  <si>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</si>
  <si>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</si>
  <si>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</si>
  <si>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</si>
  <si>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</si>
  <si>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</si>
  <si>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</si>
  <si>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</si>
  <si>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</si>
  <si>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</si>
  <si>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</si>
  <si>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</si>
  <si>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</si>
  <si>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</si>
  <si>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</si>
  <si>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</si>
  <si>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</si>
  <si>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</si>
  <si>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</si>
  <si>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</si>
  <si>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</si>
  <si>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</si>
  <si>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</si>
  <si>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</si>
  <si>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</si>
  <si>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</si>
  <si>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</si>
  <si>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</si>
  <si>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</si>
  <si>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</si>
  <si>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</si>
  <si>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</si>
  <si>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</si>
  <si>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</si>
  <si>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</si>
  <si>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</si>
  <si>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</si>
  <si>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</si>
  <si>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</si>
  <si>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</si>
  <si>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</si>
  <si>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</si>
  <si>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</si>
  <si>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</si>
  <si>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</si>
  <si>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</si>
  <si>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</si>
  <si>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</si>
  <si>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</si>
  <si>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</si>
  <si>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</si>
  <si>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</si>
  <si>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</si>
  <si>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</si>
  <si>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</si>
  <si>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</si>
  <si>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</si>
  <si>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</si>
  <si>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</si>
  <si>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</si>
  <si>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</si>
  <si>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</si>
  <si>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</si>
  <si>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</si>
  <si>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</si>
  <si>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</si>
  <si>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</si>
  <si>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</si>
  <si>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</si>
  <si>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</si>
  <si>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</si>
  <si>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</si>
  <si>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</si>
  <si>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</si>
  <si>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</si>
  <si>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</si>
  <si>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</si>
  <si>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</si>
  <si>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</si>
  <si>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</si>
  <si>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</si>
  <si>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</si>
  <si>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</si>
  <si>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</si>
  <si>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</si>
  <si>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</si>
  <si>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</si>
  <si>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</si>
  <si>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</si>
  <si>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</si>
  <si>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</si>
  <si>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</si>
  <si>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Rating C</t>
  </si>
  <si>
    <t>Average of Days to Deliver</t>
  </si>
  <si>
    <t xml:space="preserve">Values for Display </t>
  </si>
  <si>
    <t xml:space="preserve">Orders </t>
  </si>
  <si>
    <t xml:space="preserve">Qty </t>
  </si>
  <si>
    <t xml:space="preserve">Amount </t>
  </si>
  <si>
    <t>Avg. Days</t>
  </si>
  <si>
    <t>Row Labels</t>
  </si>
  <si>
    <t>Grand Total</t>
  </si>
  <si>
    <t>Column Labels</t>
  </si>
  <si>
    <t>Female</t>
  </si>
  <si>
    <t>Male</t>
  </si>
  <si>
    <t>Other</t>
  </si>
  <si>
    <t>Unknown</t>
  </si>
  <si>
    <t>For matrix</t>
  </si>
  <si>
    <t>More than 10</t>
  </si>
  <si>
    <t>6 to 10</t>
  </si>
  <si>
    <t>Customer analysis</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</si>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</sst>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quot;₹&quot;\ #,##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0"/>
        <bgColor indexed="64"/>
      </patternFill>
    </fill>
  </fills>
  <borders count="9">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s>
  <cellStyleXfs count="1">
    <xf numFmtId="0" fontId="0" fillId="0" borderId="0"/>
  </cellStyleXfs>
  <cellXfs count="21">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164" fontId="0" fillId="0" borderId="0" xfId="0" applyNumberFormat="1"/>
    <xf numFmtId="0" fontId="0" fillId="3" borderId="0" xfId="0" applyFill="1"/>
    <xf numFmtId="0" fontId="0" fillId="0" borderId="0" xfId="0" pivotButton="1"/>
    <xf numFmtId="0" fontId="0" fillId="0" borderId="0" xfId="0" applyAlignment="1">
      <alignment horizontal="left"/>
    </xf>
    <xf numFmtId="10" fontId="0" fillId="0" borderId="0" xfId="0" applyNumberFormat="1"/>
    <xf numFmtId="165"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165" fontId="0" fillId="0" borderId="5" xfId="0" applyNumberFormat="1" applyBorder="1"/>
    <xf numFmtId="0" fontId="0" fillId="0" borderId="6" xfId="0" applyBorder="1"/>
    <xf numFmtId="165" fontId="0" fillId="0" borderId="7" xfId="0" applyNumberFormat="1" applyBorder="1"/>
    <xf numFmtId="165" fontId="0" fillId="0" borderId="8" xfId="0" applyNumberFormat="1" applyBorder="1"/>
    <xf numFmtId="166" fontId="0" fillId="0" borderId="0" xfId="0" applyNumberFormat="1"/>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67" formatCode="d\-mmm\-yy"/>
    </dxf>
    <dxf>
      <numFmt numFmtId="167" formatCode="d\-mmm\-yy"/>
    </dxf>
  </dxfs>
  <tableStyles count="0" defaultTableStyle="TableStyleMedium2" defaultPivotStyle="PivotStyleLight16"/>
  <colors>
    <mruColors>
      <color rgb="FF00B050"/>
      <color rgb="FF002A13"/>
      <color rgb="FFC3FFB7"/>
      <color rgb="FF71ED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[ecommerce-blank.xlsx]Sheet1!trend in  13 weeks </c:name>
    <c:fmtId val="42"/>
  </c:pivotSource>
  <c:chart>
    <c:autoTitleDeleted val="0"/>
    <c:pivotFmts>
      <c:pivotFmt>
        <c:idx val="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Sheet1!$C$41</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Sheet1!$A$42:$A$55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Sheet1!$C$42:$C$55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A71E-4D25-888A-1B80EAF819ED}"/>
            </c:ext>
          </c:extLst>
        </c:ser>
        <c:dLbls>
          <c:showLegendKey val="0"/>
          <c:showVal val="0"/>
          <c:showCatName val="0"/>
          <c:showSerName val="0"/>
          <c:showPercent val="0"/>
          <c:showBubbleSize val="0"/>
        </c:dLbls>
        <c:marker val="1"/>
        <c:smooth val="0"/>
        <c:axId val="593736032"/>
        <c:axId val="593736512"/>
      </c:lineChart>
      <c:lineChart>
        <c:grouping val="standard"/>
        <c:varyColors val="0"/>
        <c:ser>
          <c:idx val="0"/>
          <c:order val="0"/>
          <c:tx>
            <c:strRef>
              <c:f>Sheet1!$B$41</c:f>
              <c:strCache>
                <c:ptCount val="1"/>
                <c:pt idx="0">
                  <c:v>Sum of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Sheet1!$A$42:$A$55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Sheet1!$B$42:$B$55</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A71E-4D25-888A-1B80EAF819ED}"/>
            </c:ext>
          </c:extLst>
        </c:ser>
        <c:dLbls>
          <c:showLegendKey val="0"/>
          <c:showVal val="0"/>
          <c:showCatName val="0"/>
          <c:showSerName val="0"/>
          <c:showPercent val="0"/>
          <c:showBubbleSize val="0"/>
        </c:dLbls>
        <c:marker val="1"/>
        <c:smooth val="0"/>
        <c:axId val="591648160"/>
        <c:axId val="731930224"/>
      </c:lineChart>
      <c:catAx>
        <c:axId val="59373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36512"/>
        <c:crosses val="autoZero"/>
        <c:auto val="1"/>
        <c:lblAlgn val="ctr"/>
        <c:lblOffset val="100"/>
        <c:noMultiLvlLbl val="0"/>
      </c:catAx>
      <c:valAx>
        <c:axId val="59373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36032"/>
        <c:crosses val="autoZero"/>
        <c:crossBetween val="between"/>
      </c:valAx>
      <c:valAx>
        <c:axId val="731930224"/>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648160"/>
        <c:crosses val="max"/>
        <c:crossBetween val="between"/>
      </c:valAx>
      <c:catAx>
        <c:axId val="591648160"/>
        <c:scaling>
          <c:orientation val="minMax"/>
        </c:scaling>
        <c:delete val="1"/>
        <c:axPos val="b"/>
        <c:numFmt formatCode="General" sourceLinked="1"/>
        <c:majorTickMark val="out"/>
        <c:minorTickMark val="none"/>
        <c:tickLblPos val="nextTo"/>
        <c:crossAx val="7319302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[ecommerce-blank.xlsx]Sheet1!howmany buyed</c:name>
    <c:fmtId val="4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Sheet1!$B$76</c:f>
              <c:strCache>
                <c:ptCount val="1"/>
                <c:pt idx="0">
                  <c:v>Total</c:v>
                </c:pt>
              </c:strCache>
            </c:strRef>
          </c:tx>
          <c:spPr>
            <a:solidFill>
              <a:schemeClr val="accent1"/>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Sheet1!$A$77:$A$84</c:f>
              <c:strCache>
                <c:ptCount val="7"/>
                <c:pt idx="0">
                  <c:v>1</c:v>
                </c:pt>
                <c:pt idx="1">
                  <c:v>2</c:v>
                </c:pt>
                <c:pt idx="2">
                  <c:v>3</c:v>
                </c:pt>
                <c:pt idx="3">
                  <c:v>4</c:v>
                </c:pt>
                <c:pt idx="4">
                  <c:v>5</c:v>
                </c:pt>
                <c:pt idx="5">
                  <c:v>6 to 10</c:v>
                </c:pt>
                <c:pt idx="6">
                  <c:v>More than 10</c:v>
                </c:pt>
              </c:strCache>
            </c:strRef>
          </c:cat>
          <c:val>
            <c:numRef>
              <c:f>Sheet1!$B$77:$B$84</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9EBE-4A5B-895F-D6340851C69A}"/>
            </c:ext>
          </c:extLst>
        </c:ser>
        <c:dLbls>
          <c:showLegendKey val="0"/>
          <c:showVal val="0"/>
          <c:showCatName val="0"/>
          <c:showSerName val="0"/>
          <c:showPercent val="0"/>
          <c:showBubbleSize val="0"/>
        </c:dLbls>
        <c:gapWidth val="0"/>
        <c:overlap val="-27"/>
        <c:axId val="807462528"/>
        <c:axId val="807463488"/>
      </c:barChart>
      <c:catAx>
        <c:axId val="80746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463488"/>
        <c:crosses val="autoZero"/>
        <c:auto val="1"/>
        <c:lblAlgn val="ctr"/>
        <c:lblOffset val="100"/>
        <c:noMultiLvlLbl val="0"/>
      </c:catAx>
      <c:valAx>
        <c:axId val="80746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46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[ecommerce-blank.xlsx]Sheet1!gender </c:name>
    <c:fmtId val="3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7777777777777"/>
              <c:y val="-0.129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3333333333333333E-2"/>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388888888888891"/>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777777777777777"/>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Sheet1!$B$94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9F4-4DE7-84E3-084E415CE0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19F4-4DE7-84E3-084E415CE0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19F4-4DE7-84E3-084E415CE0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19F4-4DE7-84E3-084E415CE0CC}"/>
              </c:ext>
            </c:extLst>
          </c:dPt>
          <c:dLbls>
            <c:dLbl>
              <c:idx val="0"/>
              <c:layout>
                <c:manualLayout>
                  <c:x val="0.12777777777777777"/>
                  <c:y val="-0.1296296296296297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9F4-4DE7-84E3-084E415CE0CC}"/>
                </c:ext>
              </c:extLst>
            </c:dLbl>
            <c:dLbl>
              <c:idx val="1"/>
              <c:layout>
                <c:manualLayout>
                  <c:x val="-0.12777777777777777"/>
                  <c:y val="9.259259259259258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9F4-4DE7-84E3-084E415CE0CC}"/>
                </c:ext>
              </c:extLst>
            </c:dLbl>
            <c:dLbl>
              <c:idx val="2"/>
              <c:layout>
                <c:manualLayout>
                  <c:x val="-0.11388888888888891"/>
                  <c:y val="-0.1018518518518518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9F4-4DE7-84E3-084E415CE0CC}"/>
                </c:ext>
              </c:extLst>
            </c:dLbl>
            <c:dLbl>
              <c:idx val="3"/>
              <c:layout>
                <c:manualLayout>
                  <c:x val="-3.3333333333333333E-2"/>
                  <c:y val="-0.1898148148148148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9F4-4DE7-84E3-084E415CE0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Sheet1!$A$95:$A$99</c:f>
              <c:strCache>
                <c:ptCount val="4"/>
                <c:pt idx="0">
                  <c:v>Female</c:v>
                </c:pt>
                <c:pt idx="1">
                  <c:v>Male</c:v>
                </c:pt>
                <c:pt idx="2">
                  <c:v>Other</c:v>
                </c:pt>
                <c:pt idx="3">
                  <c:v>Unknown</c:v>
                </c:pt>
              </c:strCache>
            </c:strRef>
          </c:cat>
          <c:val>
            <c:numRef>
              <c:f>Sheet1!$B$95:$B$99</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19F4-4DE7-84E3-084E415CE0CC}"/>
            </c:ext>
          </c:extLst>
        </c:ser>
        <c:dLbls>
          <c:showLegendKey val="0"/>
          <c:showVal val="0"/>
          <c:showCatName val="0"/>
          <c:showSerName val="0"/>
          <c:showPercent val="0"/>
          <c:showBubbleSize val="0"/>
          <c:showLeaderLines val="1"/>
        </c:dLbls>
        <c:firstSliceAng val="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[ecommerce-blank.xlsx]Sheet1!days to deliver</c:name>
    <c:fmtId val="5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Sheet1!$B$103</c:f>
              <c:strCache>
                <c:ptCount val="1"/>
                <c:pt idx="0">
                  <c:v>Total</c:v>
                </c:pt>
              </c:strCache>
            </c:strRef>
          </c:tx>
          <c:spPr>
            <a:solidFill>
              <a:schemeClr val="accent1"/>
            </a:solidFill>
            <a:ln>
              <a:solidFill>
                <a:schemeClr val="bg1"/>
              </a:solidFill>
            </a:ln>
            <a:effectLst/>
          </c:spPr>
          <c:invertIfNegative val="0"/>
          <c:cat>
            <c:strRef>
              <c:f>Sheet1!$A$104:$A$119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Sheet1!$B$104:$B$119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F6F1-4105-8460-1A11111D59E8}"/>
            </c:ext>
          </c:extLst>
        </c:ser>
        <c:dLbls>
          <c:showLegendKey val="0"/>
          <c:showVal val="0"/>
          <c:showCatName val="0"/>
          <c:showSerName val="0"/>
          <c:showPercent val="0"/>
          <c:showBubbleSize val="0"/>
        </c:dLbls>
        <c:gapWidth val="5"/>
        <c:overlap val="-27"/>
        <c:axId val="1275575696"/>
        <c:axId val="1275580496"/>
      </c:barChart>
      <c:catAx>
        <c:axId val="127557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80496"/>
        <c:crosses val="autoZero"/>
        <c:auto val="1"/>
        <c:lblAlgn val="ctr"/>
        <c:lblOffset val="100"/>
        <c:noMultiLvlLbl val="0"/>
      </c:catAx>
      <c:valAx>
        <c:axId val="127558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7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[ecommerce-blank.xlsx]Sheet1!customer anaylsis</c:name>
    <c:fmtId val="5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Sheet1!$B$127:$B$128</c:f>
              <c:strCache>
                <c:ptCount val="1"/>
                <c:pt idx="0">
                  <c:v>1</c:v>
                </c:pt>
              </c:strCache>
            </c:strRef>
          </c:tx>
          <c:spPr>
            <a:solidFill>
              <a:schemeClr val="accent1"/>
            </a:solidFill>
            <a:ln>
              <a:noFill/>
            </a:ln>
            <a:effectLst/>
          </c:spPr>
          <c:invertIfNegative val="0"/>
          <c:cat>
            <c:strRef>
              <c:f>Sheet1!$A$129:$A$132</c:f>
              <c:strCache>
                <c:ptCount val="3"/>
                <c:pt idx="0">
                  <c:v>Jan</c:v>
                </c:pt>
                <c:pt idx="1">
                  <c:v>Feb</c:v>
                </c:pt>
                <c:pt idx="2">
                  <c:v>Mar</c:v>
                </c:pt>
              </c:strCache>
            </c:strRef>
          </c:cat>
          <c:val>
            <c:numRef>
              <c:f>Sheet1!$B$129:$B$132</c:f>
              <c:numCache>
                <c:formatCode>General</c:formatCode>
                <c:ptCount val="3"/>
                <c:pt idx="0">
                  <c:v>7</c:v>
                </c:pt>
                <c:pt idx="1">
                  <c:v>8</c:v>
                </c:pt>
                <c:pt idx="2">
                  <c:v>6</c:v>
                </c:pt>
              </c:numCache>
            </c:numRef>
          </c:val>
          <c:extLst>
            <c:ext xmlns:c16="http://schemas.microsoft.com/office/drawing/2014/chart" uri="{C3380CC4-5D6E-409C-BE32-E72D297353CC}">
              <c16:uniqueId val="{00000000-2651-409D-9802-ADC560E0C832}"/>
            </c:ext>
          </c:extLst>
        </c:ser>
        <c:ser>
          <c:idx val="1"/>
          <c:order val="1"/>
          <c:tx>
            <c:strRef>
              <c:f>Sheet1!$C$127:$C$128</c:f>
              <c:strCache>
                <c:ptCount val="1"/>
                <c:pt idx="0">
                  <c:v>2</c:v>
                </c:pt>
              </c:strCache>
            </c:strRef>
          </c:tx>
          <c:spPr>
            <a:solidFill>
              <a:schemeClr val="accent2"/>
            </a:solidFill>
            <a:ln>
              <a:noFill/>
            </a:ln>
            <a:effectLst/>
          </c:spPr>
          <c:invertIfNegative val="0"/>
          <c:cat>
            <c:strRef>
              <c:f>Sheet1!$A$129:$A$132</c:f>
              <c:strCache>
                <c:ptCount val="3"/>
                <c:pt idx="0">
                  <c:v>Jan</c:v>
                </c:pt>
                <c:pt idx="1">
                  <c:v>Feb</c:v>
                </c:pt>
                <c:pt idx="2">
                  <c:v>Mar</c:v>
                </c:pt>
              </c:strCache>
            </c:strRef>
          </c:cat>
          <c:val>
            <c:numRef>
              <c:f>Sheet1!$C$129:$C$132</c:f>
              <c:numCache>
                <c:formatCode>General</c:formatCode>
                <c:ptCount val="3"/>
                <c:pt idx="0">
                  <c:v>37</c:v>
                </c:pt>
                <c:pt idx="1">
                  <c:v>51</c:v>
                </c:pt>
                <c:pt idx="2">
                  <c:v>39</c:v>
                </c:pt>
              </c:numCache>
            </c:numRef>
          </c:val>
          <c:extLst>
            <c:ext xmlns:c16="http://schemas.microsoft.com/office/drawing/2014/chart" uri="{C3380CC4-5D6E-409C-BE32-E72D297353CC}">
              <c16:uniqueId val="{00000004-2651-409D-9802-ADC560E0C832}"/>
            </c:ext>
          </c:extLst>
        </c:ser>
        <c:ser>
          <c:idx val="2"/>
          <c:order val="2"/>
          <c:tx>
            <c:strRef>
              <c:f>Sheet1!$D$127:$D$128</c:f>
              <c:strCache>
                <c:ptCount val="1"/>
                <c:pt idx="0">
                  <c:v>3</c:v>
                </c:pt>
              </c:strCache>
            </c:strRef>
          </c:tx>
          <c:spPr>
            <a:solidFill>
              <a:schemeClr val="accent3"/>
            </a:solidFill>
            <a:ln>
              <a:noFill/>
            </a:ln>
            <a:effectLst/>
          </c:spPr>
          <c:invertIfNegative val="0"/>
          <c:cat>
            <c:strRef>
              <c:f>Sheet1!$A$129:$A$132</c:f>
              <c:strCache>
                <c:ptCount val="3"/>
                <c:pt idx="0">
                  <c:v>Jan</c:v>
                </c:pt>
                <c:pt idx="1">
                  <c:v>Feb</c:v>
                </c:pt>
                <c:pt idx="2">
                  <c:v>Mar</c:v>
                </c:pt>
              </c:strCache>
            </c:strRef>
          </c:cat>
          <c:val>
            <c:numRef>
              <c:f>Sheet1!$D$129:$D$132</c:f>
              <c:numCache>
                <c:formatCode>General</c:formatCode>
                <c:ptCount val="3"/>
                <c:pt idx="0">
                  <c:v>150</c:v>
                </c:pt>
                <c:pt idx="1">
                  <c:v>182</c:v>
                </c:pt>
                <c:pt idx="2">
                  <c:v>163</c:v>
                </c:pt>
              </c:numCache>
            </c:numRef>
          </c:val>
          <c:extLst>
            <c:ext xmlns:c16="http://schemas.microsoft.com/office/drawing/2014/chart" uri="{C3380CC4-5D6E-409C-BE32-E72D297353CC}">
              <c16:uniqueId val="{00000005-2651-409D-9802-ADC560E0C832}"/>
            </c:ext>
          </c:extLst>
        </c:ser>
        <c:ser>
          <c:idx val="3"/>
          <c:order val="3"/>
          <c:tx>
            <c:strRef>
              <c:f>Sheet1!$E$127:$E$128</c:f>
              <c:strCache>
                <c:ptCount val="1"/>
                <c:pt idx="0">
                  <c:v>4</c:v>
                </c:pt>
              </c:strCache>
            </c:strRef>
          </c:tx>
          <c:spPr>
            <a:solidFill>
              <a:schemeClr val="accent4"/>
            </a:solidFill>
            <a:ln>
              <a:noFill/>
            </a:ln>
            <a:effectLst/>
          </c:spPr>
          <c:invertIfNegative val="0"/>
          <c:cat>
            <c:strRef>
              <c:f>Sheet1!$A$129:$A$132</c:f>
              <c:strCache>
                <c:ptCount val="3"/>
                <c:pt idx="0">
                  <c:v>Jan</c:v>
                </c:pt>
                <c:pt idx="1">
                  <c:v>Feb</c:v>
                </c:pt>
                <c:pt idx="2">
                  <c:v>Mar</c:v>
                </c:pt>
              </c:strCache>
            </c:strRef>
          </c:cat>
          <c:val>
            <c:numRef>
              <c:f>Sheet1!$E$129:$E$132</c:f>
              <c:numCache>
                <c:formatCode>General</c:formatCode>
                <c:ptCount val="3"/>
                <c:pt idx="0">
                  <c:v>312</c:v>
                </c:pt>
                <c:pt idx="1">
                  <c:v>373</c:v>
                </c:pt>
                <c:pt idx="2">
                  <c:v>351</c:v>
                </c:pt>
              </c:numCache>
            </c:numRef>
          </c:val>
          <c:extLst>
            <c:ext xmlns:c16="http://schemas.microsoft.com/office/drawing/2014/chart" uri="{C3380CC4-5D6E-409C-BE32-E72D297353CC}">
              <c16:uniqueId val="{00000006-2651-409D-9802-ADC560E0C832}"/>
            </c:ext>
          </c:extLst>
        </c:ser>
        <c:ser>
          <c:idx val="4"/>
          <c:order val="4"/>
          <c:tx>
            <c:strRef>
              <c:f>Sheet1!$F$127:$F$128</c:f>
              <c:strCache>
                <c:ptCount val="1"/>
                <c:pt idx="0">
                  <c:v>5</c:v>
                </c:pt>
              </c:strCache>
            </c:strRef>
          </c:tx>
          <c:spPr>
            <a:solidFill>
              <a:schemeClr val="accent5"/>
            </a:solidFill>
            <a:ln>
              <a:noFill/>
            </a:ln>
            <a:effectLst/>
          </c:spPr>
          <c:invertIfNegative val="0"/>
          <c:cat>
            <c:strRef>
              <c:f>Sheet1!$A$129:$A$132</c:f>
              <c:strCache>
                <c:ptCount val="3"/>
                <c:pt idx="0">
                  <c:v>Jan</c:v>
                </c:pt>
                <c:pt idx="1">
                  <c:v>Feb</c:v>
                </c:pt>
                <c:pt idx="2">
                  <c:v>Mar</c:v>
                </c:pt>
              </c:strCache>
            </c:strRef>
          </c:cat>
          <c:val>
            <c:numRef>
              <c:f>Sheet1!$F$129:$F$132</c:f>
              <c:numCache>
                <c:formatCode>General</c:formatCode>
                <c:ptCount val="3"/>
                <c:pt idx="0">
                  <c:v>224</c:v>
                </c:pt>
                <c:pt idx="1">
                  <c:v>247</c:v>
                </c:pt>
                <c:pt idx="2">
                  <c:v>250</c:v>
                </c:pt>
              </c:numCache>
            </c:numRef>
          </c:val>
          <c:extLst>
            <c:ext xmlns:c16="http://schemas.microsoft.com/office/drawing/2014/chart" uri="{C3380CC4-5D6E-409C-BE32-E72D297353CC}">
              <c16:uniqueId val="{00000006-28E0-41D2-90DC-5379E6FF9BF6}"/>
            </c:ext>
          </c:extLst>
        </c:ser>
        <c:dLbls>
          <c:showLegendKey val="0"/>
          <c:showVal val="0"/>
          <c:showCatName val="0"/>
          <c:showSerName val="0"/>
          <c:showPercent val="0"/>
          <c:showBubbleSize val="0"/>
        </c:dLbls>
        <c:gapWidth val="219"/>
        <c:overlap val="-27"/>
        <c:axId val="746276768"/>
        <c:axId val="746277248"/>
      </c:barChart>
      <c:catAx>
        <c:axId val="74627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77248"/>
        <c:crosses val="autoZero"/>
        <c:auto val="1"/>
        <c:lblAlgn val="ctr"/>
        <c:lblOffset val="100"/>
        <c:noMultiLvlLbl val="0"/>
      </c:catAx>
      <c:valAx>
        <c:axId val="74627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7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[ecommerce-blank.xlsx]Sheet1!products gender</c:name>
    <c:fmtId val="34"/>
  </c:pivotSource>
  <c:chart>
    <c:title>
      <c:tx>
        <c:rich>
          <a:bodyPr rot="0" spcFirstLastPara="1" vertOverflow="ellipsis" vert="horz" wrap="square" anchor="ctr" anchorCtr="0"/>
          <a:lstStyle/>
          <a:p>
            <a:pPr lvl="1" algn="l" rtl="0">
              <a:defRPr sz="1400" b="0" i="0" u="none" strike="noStrike" kern="1200" spc="0" baseline="0">
                <a:solidFill>
                  <a:sysClr val="windowText" lastClr="000000">
                    <a:lumMod val="65000"/>
                    <a:lumOff val="35000"/>
                  </a:sysClr>
                </a:solidFill>
                <a:latin typeface="+mn-lt"/>
                <a:ea typeface="+mn-ea"/>
                <a:cs typeface="+mn-cs"/>
              </a:defRPr>
            </a:pPr>
            <a:r>
              <a:rPr lang="en-IN" b="1"/>
              <a:t>Which</a:t>
            </a:r>
            <a:r>
              <a:rPr lang="en-IN" b="1" baseline="0"/>
              <a:t> products are popular? Breakdown by Gender</a:t>
            </a:r>
            <a:endParaRPr lang="en-IN" b="1"/>
          </a:p>
        </c:rich>
      </c:tx>
      <c:layout>
        <c:manualLayout>
          <c:xMode val="edge"/>
          <c:yMode val="edge"/>
          <c:x val="5.6485835571705494E-2"/>
          <c:y val="2.3494339915840819E-2"/>
        </c:manualLayout>
      </c:layout>
      <c:overlay val="0"/>
      <c:spPr>
        <a:noFill/>
        <a:ln>
          <a:noFill/>
        </a:ln>
        <a:effectLst/>
      </c:spPr>
      <c:txPr>
        <a:bodyPr rot="0" spcFirstLastPara="1" vertOverflow="ellipsis" vert="horz" wrap="square" anchor="ctr" anchorCtr="0"/>
        <a:lstStyle/>
        <a:p>
          <a:pPr lvl="1" algn="l"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Sheet1!$B$8:$B$9</c:f>
              <c:strCache>
                <c:ptCount val="1"/>
                <c:pt idx="0">
                  <c:v>Female</c:v>
                </c:pt>
              </c:strCache>
            </c:strRef>
          </c:tx>
          <c:spPr>
            <a:solidFill>
              <a:schemeClr val="accent1"/>
            </a:solidFill>
            <a:ln>
              <a:noFill/>
            </a:ln>
            <a:effectLst/>
          </c:spPr>
          <c:invertIfNegative val="0"/>
          <c:cat>
            <c:strRef>
              <c:f>Sheet1!$A$10:$A$30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Sheet1!$B$10:$B$30</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B998-4104-80DC-3AFAF5FD379D}"/>
            </c:ext>
          </c:extLst>
        </c:ser>
        <c:ser>
          <c:idx val="1"/>
          <c:order val="1"/>
          <c:tx>
            <c:strRef>
              <c:f>Sheet1!$C$8:$C$9</c:f>
              <c:strCache>
                <c:ptCount val="1"/>
                <c:pt idx="0">
                  <c:v>Male</c:v>
                </c:pt>
              </c:strCache>
            </c:strRef>
          </c:tx>
          <c:spPr>
            <a:solidFill>
              <a:schemeClr val="accent2"/>
            </a:solidFill>
            <a:ln>
              <a:noFill/>
            </a:ln>
            <a:effectLst/>
          </c:spPr>
          <c:invertIfNegative val="0"/>
          <c:cat>
            <c:strRef>
              <c:f>Sheet1!$A$10:$A$30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Sheet1!$C$10:$C$30</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B998-4104-80DC-3AFAF5FD379D}"/>
            </c:ext>
          </c:extLst>
        </c:ser>
        <c:ser>
          <c:idx val="2"/>
          <c:order val="2"/>
          <c:tx>
            <c:strRef>
              <c:f>Sheet1!$D$8:$D$9</c:f>
              <c:strCache>
                <c:ptCount val="1"/>
                <c:pt idx="0">
                  <c:v>Other</c:v>
                </c:pt>
              </c:strCache>
            </c:strRef>
          </c:tx>
          <c:spPr>
            <a:solidFill>
              <a:schemeClr val="accent3"/>
            </a:solidFill>
            <a:ln>
              <a:noFill/>
            </a:ln>
            <a:effectLst/>
          </c:spPr>
          <c:invertIfNegative val="0"/>
          <c:cat>
            <c:strRef>
              <c:f>Sheet1!$A$10:$A$30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Sheet1!$D$10:$D$30</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B998-4104-80DC-3AFAF5FD379D}"/>
            </c:ext>
          </c:extLst>
        </c:ser>
        <c:ser>
          <c:idx val="3"/>
          <c:order val="3"/>
          <c:tx>
            <c:strRef>
              <c:f>Sheet1!$E$8:$E$9</c:f>
              <c:strCache>
                <c:ptCount val="1"/>
                <c:pt idx="0">
                  <c:v>Unknown</c:v>
                </c:pt>
              </c:strCache>
            </c:strRef>
          </c:tx>
          <c:spPr>
            <a:solidFill>
              <a:schemeClr val="accent4"/>
            </a:solidFill>
            <a:ln>
              <a:noFill/>
            </a:ln>
            <a:effectLst/>
          </c:spPr>
          <c:invertIfNegative val="0"/>
          <c:cat>
            <c:strRef>
              <c:f>Sheet1!$A$10:$A$30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Sheet1!$E$10:$E$30</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B998-4104-80DC-3AFAF5FD379D}"/>
            </c:ext>
          </c:extLst>
        </c:ser>
        <c:dLbls>
          <c:showLegendKey val="0"/>
          <c:showVal val="0"/>
          <c:showCatName val="0"/>
          <c:showSerName val="0"/>
          <c:showPercent val="0"/>
          <c:showBubbleSize val="0"/>
        </c:dLbls>
        <c:gapWidth val="10"/>
        <c:overlap val="100"/>
        <c:axId val="1290466896"/>
        <c:axId val="1290469296"/>
      </c:barChart>
      <c:catAx>
        <c:axId val="1290466896"/>
        <c:scaling>
          <c:orientation val="maxMin"/>
        </c:scaling>
        <c:delete val="0"/>
        <c:axPos val="l"/>
        <c:numFmt formatCode="General" sourceLinked="1"/>
        <c:majorTickMark val="none"/>
        <c:minorTickMark val="none"/>
        <c:tickLblPos val="high"/>
        <c:spPr>
          <a:noFill/>
          <a:ln w="9525"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469296"/>
        <c:crosses val="autoZero"/>
        <c:auto val="1"/>
        <c:lblAlgn val="ctr"/>
        <c:lblOffset val="100"/>
        <c:tickMarkSkip val="1"/>
        <c:noMultiLvlLbl val="0"/>
      </c:catAx>
      <c:valAx>
        <c:axId val="1290469296"/>
        <c:scaling>
          <c:orientation val="minMax"/>
          <c:max val="200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466896"/>
        <c:crosses val="autoZero"/>
        <c:crossBetween val="between"/>
        <c:majorUnit val="5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[ecommerce-blank.xlsx]Sheet1!trend in  13 weeks </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Last</a:t>
            </a:r>
            <a:r>
              <a:rPr lang="en-IN" b="1" baseline="0"/>
              <a:t> 13 weeks Trends -Qty &amp;  Amount</a:t>
            </a:r>
            <a:endParaRPr lang="en-IN" b="1"/>
          </a:p>
        </c:rich>
      </c:tx>
      <c:layout>
        <c:manualLayout>
          <c:xMode val="edge"/>
          <c:yMode val="edge"/>
          <c:x val="9.2199192022998616E-2"/>
          <c:y val="3.92301318302323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977489110511423E-2"/>
          <c:y val="0.16077825957550224"/>
          <c:w val="0.83221201249886212"/>
          <c:h val="0.73900834468804355"/>
        </c:manualLayout>
      </c:layout>
      <c:lineChart>
        <c:grouping val="standard"/>
        <c:varyColors val="0"/>
        <c:ser>
          <c:idx val="1"/>
          <c:order val="1"/>
          <c:tx>
            <c:strRef>
              <c:f>Sheet1!$C$41</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Sheet1!$A$42:$A$55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Sheet1!$C$42:$C$55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6D28-4A4C-B166-A0DAD16C656E}"/>
            </c:ext>
          </c:extLst>
        </c:ser>
        <c:dLbls>
          <c:showLegendKey val="0"/>
          <c:showVal val="0"/>
          <c:showCatName val="0"/>
          <c:showSerName val="0"/>
          <c:showPercent val="0"/>
          <c:showBubbleSize val="0"/>
        </c:dLbls>
        <c:marker val="1"/>
        <c:smooth val="0"/>
        <c:axId val="593736032"/>
        <c:axId val="593736512"/>
      </c:lineChart>
      <c:lineChart>
        <c:grouping val="standard"/>
        <c:varyColors val="0"/>
        <c:ser>
          <c:idx val="0"/>
          <c:order val="0"/>
          <c:tx>
            <c:strRef>
              <c:f>Sheet1!$B$41</c:f>
              <c:strCache>
                <c:ptCount val="1"/>
                <c:pt idx="0">
                  <c:v>Sum of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Sheet1!$A$42:$A$55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Sheet1!$B$42:$B$55</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6D28-4A4C-B166-A0DAD16C656E}"/>
            </c:ext>
          </c:extLst>
        </c:ser>
        <c:dLbls>
          <c:showLegendKey val="0"/>
          <c:showVal val="0"/>
          <c:showCatName val="0"/>
          <c:showSerName val="0"/>
          <c:showPercent val="0"/>
          <c:showBubbleSize val="0"/>
        </c:dLbls>
        <c:marker val="1"/>
        <c:smooth val="0"/>
        <c:axId val="591648160"/>
        <c:axId val="731930224"/>
      </c:lineChart>
      <c:catAx>
        <c:axId val="59373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36512"/>
        <c:crosses val="autoZero"/>
        <c:auto val="1"/>
        <c:lblAlgn val="ctr"/>
        <c:lblOffset val="100"/>
        <c:noMultiLvlLbl val="0"/>
      </c:catAx>
      <c:valAx>
        <c:axId val="593736512"/>
        <c:scaling>
          <c:orientation val="minMax"/>
          <c:max val="1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736032"/>
        <c:crosses val="autoZero"/>
        <c:crossBetween val="between"/>
        <c:majorUnit val="500"/>
      </c:valAx>
      <c:valAx>
        <c:axId val="731930224"/>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648160"/>
        <c:crosses val="max"/>
        <c:crossBetween val="between"/>
        <c:majorUnit val="20000"/>
      </c:valAx>
      <c:catAx>
        <c:axId val="591648160"/>
        <c:scaling>
          <c:orientation val="minMax"/>
        </c:scaling>
        <c:delete val="1"/>
        <c:axPos val="b"/>
        <c:numFmt formatCode="General" sourceLinked="1"/>
        <c:majorTickMark val="out"/>
        <c:minorTickMark val="none"/>
        <c:tickLblPos val="nextTo"/>
        <c:crossAx val="73193022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[ecommerce-blank.xlsx]Sheet1!howmany buyed</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they like to buy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
                <a:schemeClr val="accent1">
                  <a:lumMod val="75000"/>
                </a:schemeClr>
              </a:gs>
              <a:gs pos="100000">
                <a:schemeClr val="accent1">
                  <a:lumMod val="60000"/>
                  <a:lumOff val="40000"/>
                </a:schemeClr>
              </a:gs>
            </a:gsLst>
            <a:lin ang="5400000" scaled="1"/>
          </a:gra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Sheet1!$B$76</c:f>
              <c:strCache>
                <c:ptCount val="1"/>
                <c:pt idx="0">
                  <c:v>Total</c:v>
                </c:pt>
              </c:strCache>
            </c:strRef>
          </c:tx>
          <c:spPr>
            <a:gradFill>
              <a:gsLst>
                <a:gs pos="1000">
                  <a:schemeClr val="accent1">
                    <a:lumMod val="75000"/>
                  </a:schemeClr>
                </a:gs>
                <a:gs pos="100000">
                  <a:schemeClr val="accent1">
                    <a:lumMod val="60000"/>
                    <a:lumOff val="40000"/>
                  </a:schemeClr>
                </a:gs>
              </a:gsLst>
              <a:lin ang="5400000" scaled="1"/>
            </a:gra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Sheet1!$A$77:$A$84</c:f>
              <c:strCache>
                <c:ptCount val="7"/>
                <c:pt idx="0">
                  <c:v>1</c:v>
                </c:pt>
                <c:pt idx="1">
                  <c:v>2</c:v>
                </c:pt>
                <c:pt idx="2">
                  <c:v>3</c:v>
                </c:pt>
                <c:pt idx="3">
                  <c:v>4</c:v>
                </c:pt>
                <c:pt idx="4">
                  <c:v>5</c:v>
                </c:pt>
                <c:pt idx="5">
                  <c:v>6 to 10</c:v>
                </c:pt>
                <c:pt idx="6">
                  <c:v>More than 10</c:v>
                </c:pt>
              </c:strCache>
            </c:strRef>
          </c:cat>
          <c:val>
            <c:numRef>
              <c:f>Sheet1!$B$77:$B$84</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7CDB-443A-BEB8-F9C6D0A1E4B1}"/>
            </c:ext>
          </c:extLst>
        </c:ser>
        <c:dLbls>
          <c:showLegendKey val="0"/>
          <c:showVal val="0"/>
          <c:showCatName val="0"/>
          <c:showSerName val="0"/>
          <c:showPercent val="0"/>
          <c:showBubbleSize val="0"/>
        </c:dLbls>
        <c:gapWidth val="0"/>
        <c:overlap val="-27"/>
        <c:axId val="807462528"/>
        <c:axId val="807463488"/>
      </c:barChart>
      <c:catAx>
        <c:axId val="80746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463488"/>
        <c:crosses val="autoZero"/>
        <c:auto val="1"/>
        <c:lblAlgn val="ctr"/>
        <c:lblOffset val="100"/>
        <c:noMultiLvlLbl val="0"/>
      </c:catAx>
      <c:valAx>
        <c:axId val="80746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46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[ecommerce-blank.xlsx]Sheet1!gender </c:name>
    <c:fmtId val="3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7777777777777"/>
              <c:y val="-0.129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3.3333333333333333E-2"/>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1388888888888891"/>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2777777777777777"/>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777777777777777"/>
              <c:y val="-0.129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777777777777777"/>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388888888888891"/>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3333333333333333E-2"/>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777777777777777"/>
              <c:y val="-0.129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777777777777777"/>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1388888888888891"/>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3.3333333333333333E-2"/>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Sheet1!$B$94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E3-437D-896E-F60117115E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E3-437D-896E-F60117115E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E3-437D-896E-F60117115E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E3-437D-896E-F60117115E5B}"/>
              </c:ext>
            </c:extLst>
          </c:dPt>
          <c:dLbls>
            <c:dLbl>
              <c:idx val="0"/>
              <c:layout>
                <c:manualLayout>
                  <c:x val="0.12777777777777777"/>
                  <c:y val="-0.1296296296296297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7E3-437D-896E-F60117115E5B}"/>
                </c:ext>
              </c:extLst>
            </c:dLbl>
            <c:dLbl>
              <c:idx val="1"/>
              <c:layout>
                <c:manualLayout>
                  <c:x val="-0.12777777777777777"/>
                  <c:y val="9.259259259259258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7E3-437D-896E-F60117115E5B}"/>
                </c:ext>
              </c:extLst>
            </c:dLbl>
            <c:dLbl>
              <c:idx val="2"/>
              <c:layout>
                <c:manualLayout>
                  <c:x val="-0.11388888888888891"/>
                  <c:y val="-0.1018518518518518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7E3-437D-896E-F60117115E5B}"/>
                </c:ext>
              </c:extLst>
            </c:dLbl>
            <c:dLbl>
              <c:idx val="3"/>
              <c:layout>
                <c:manualLayout>
                  <c:x val="-3.3333333333333333E-2"/>
                  <c:y val="-0.1898148148148148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7E3-437D-896E-F60117115E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Sheet1!$A$95:$A$99</c:f>
              <c:strCache>
                <c:ptCount val="4"/>
                <c:pt idx="0">
                  <c:v>Female</c:v>
                </c:pt>
                <c:pt idx="1">
                  <c:v>Male</c:v>
                </c:pt>
                <c:pt idx="2">
                  <c:v>Other</c:v>
                </c:pt>
                <c:pt idx="3">
                  <c:v>Unknown</c:v>
                </c:pt>
              </c:strCache>
            </c:strRef>
          </c:cat>
          <c:val>
            <c:numRef>
              <c:f>Sheet1!$B$95:$B$99</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B7E3-437D-896E-F60117115E5B}"/>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[ecommerce-blank.xlsx]Sheet1!days to deliver</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long we take to Ship?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Sheet1!$B$103</c:f>
              <c:strCache>
                <c:ptCount val="1"/>
                <c:pt idx="0">
                  <c:v>Total</c:v>
                </c:pt>
              </c:strCache>
            </c:strRef>
          </c:tx>
          <c:spPr>
            <a:solidFill>
              <a:schemeClr val="tx1">
                <a:lumMod val="95000"/>
                <a:lumOff val="5000"/>
              </a:schemeClr>
            </a:solidFill>
            <a:ln>
              <a:solidFill>
                <a:schemeClr val="bg1"/>
              </a:solidFill>
            </a:ln>
            <a:effectLst/>
          </c:spPr>
          <c:invertIfNegative val="0"/>
          <c:cat>
            <c:strRef>
              <c:f>Sheet1!$A$104:$A$119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Sheet1!$B$104:$B$119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C2BF-426D-BA28-3BAC682316C0}"/>
            </c:ext>
          </c:extLst>
        </c:ser>
        <c:dLbls>
          <c:showLegendKey val="0"/>
          <c:showVal val="0"/>
          <c:showCatName val="0"/>
          <c:showSerName val="0"/>
          <c:showPercent val="0"/>
          <c:showBubbleSize val="0"/>
        </c:dLbls>
        <c:gapWidth val="5"/>
        <c:overlap val="-27"/>
        <c:axId val="1275575696"/>
        <c:axId val="1275580496"/>
      </c:barChart>
      <c:catAx>
        <c:axId val="127557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80496"/>
        <c:crosses val="autoZero"/>
        <c:auto val="1"/>
        <c:lblAlgn val="ctr"/>
        <c:lblOffset val="100"/>
        <c:noMultiLvlLbl val="0"/>
      </c:catAx>
      <c:valAx>
        <c:axId val="127558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7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[ecommerce-blank.xlsx]Sheet1!customer anaylsis</c:name>
    <c:fmtId val="5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0"/>
              <a:t>How</a:t>
            </a:r>
            <a:r>
              <a:rPr lang="en-IN" b="1" i="0" baseline="0"/>
              <a:t> satisfied are our customers ?</a:t>
            </a:r>
            <a:endParaRPr lang="en-IN" b="1" i="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a:gsLst>
              <a:gs pos="1000">
                <a:srgbClr val="002060"/>
              </a:gs>
              <a:gs pos="100000">
                <a:schemeClr val="accent1">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a:gsLst>
              <a:gs pos="1000">
                <a:srgbClr val="FFC000"/>
              </a:gs>
              <a:gs pos="100000">
                <a:schemeClr val="accent4">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a:gsLst>
              <a:gs pos="1000">
                <a:schemeClr val="accent4">
                  <a:lumMod val="75000"/>
                </a:schemeClr>
              </a:gs>
              <a:gs pos="100000">
                <a:schemeClr val="accent1">
                  <a:lumMod val="40000"/>
                  <a:lumOff val="6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a:gsLst>
              <a:gs pos="1000">
                <a:schemeClr val="accent1">
                  <a:lumMod val="75000"/>
                </a:schemeClr>
              </a:gs>
              <a:gs pos="100000">
                <a:schemeClr val="accent1">
                  <a:lumMod val="40000"/>
                  <a:lumOff val="6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Sheet1!$B$127:$B$128</c:f>
              <c:strCache>
                <c:ptCount val="1"/>
                <c:pt idx="0">
                  <c:v>1</c:v>
                </c:pt>
              </c:strCache>
            </c:strRef>
          </c:tx>
          <c:spPr>
            <a:solidFill>
              <a:schemeClr val="accent6">
                <a:lumMod val="75000"/>
              </a:schemeClr>
            </a:solidFill>
            <a:ln>
              <a:noFill/>
            </a:ln>
            <a:effectLst/>
          </c:spPr>
          <c:invertIfNegative val="0"/>
          <c:cat>
            <c:strRef>
              <c:f>Sheet1!$A$129:$A$132</c:f>
              <c:strCache>
                <c:ptCount val="3"/>
                <c:pt idx="0">
                  <c:v>Jan</c:v>
                </c:pt>
                <c:pt idx="1">
                  <c:v>Feb</c:v>
                </c:pt>
                <c:pt idx="2">
                  <c:v>Mar</c:v>
                </c:pt>
              </c:strCache>
            </c:strRef>
          </c:cat>
          <c:val>
            <c:numRef>
              <c:f>Sheet1!$B$129:$B$132</c:f>
              <c:numCache>
                <c:formatCode>General</c:formatCode>
                <c:ptCount val="3"/>
                <c:pt idx="0">
                  <c:v>7</c:v>
                </c:pt>
                <c:pt idx="1">
                  <c:v>8</c:v>
                </c:pt>
                <c:pt idx="2">
                  <c:v>6</c:v>
                </c:pt>
              </c:numCache>
            </c:numRef>
          </c:val>
          <c:extLst>
            <c:ext xmlns:c16="http://schemas.microsoft.com/office/drawing/2014/chart" uri="{C3380CC4-5D6E-409C-BE32-E72D297353CC}">
              <c16:uniqueId val="{00000000-D26C-42B7-A83A-C9B291938F0E}"/>
            </c:ext>
          </c:extLst>
        </c:ser>
        <c:ser>
          <c:idx val="1"/>
          <c:order val="1"/>
          <c:tx>
            <c:strRef>
              <c:f>Sheet1!$C$127:$C$128</c:f>
              <c:strCache>
                <c:ptCount val="1"/>
                <c:pt idx="0">
                  <c:v>2</c:v>
                </c:pt>
              </c:strCache>
            </c:strRef>
          </c:tx>
          <c:spPr>
            <a:gradFill>
              <a:gsLst>
                <a:gs pos="1000">
                  <a:srgbClr val="002060"/>
                </a:gs>
                <a:gs pos="100000">
                  <a:schemeClr val="accent1">
                    <a:lumMod val="60000"/>
                    <a:lumOff val="40000"/>
                  </a:schemeClr>
                </a:gs>
              </a:gsLst>
              <a:lin ang="5400000" scaled="1"/>
            </a:gradFill>
            <a:ln>
              <a:noFill/>
            </a:ln>
            <a:effectLst/>
          </c:spPr>
          <c:invertIfNegative val="0"/>
          <c:cat>
            <c:strRef>
              <c:f>Sheet1!$A$129:$A$132</c:f>
              <c:strCache>
                <c:ptCount val="3"/>
                <c:pt idx="0">
                  <c:v>Jan</c:v>
                </c:pt>
                <c:pt idx="1">
                  <c:v>Feb</c:v>
                </c:pt>
                <c:pt idx="2">
                  <c:v>Mar</c:v>
                </c:pt>
              </c:strCache>
            </c:strRef>
          </c:cat>
          <c:val>
            <c:numRef>
              <c:f>Sheet1!$C$129:$C$132</c:f>
              <c:numCache>
                <c:formatCode>General</c:formatCode>
                <c:ptCount val="3"/>
                <c:pt idx="0">
                  <c:v>37</c:v>
                </c:pt>
                <c:pt idx="1">
                  <c:v>51</c:v>
                </c:pt>
                <c:pt idx="2">
                  <c:v>39</c:v>
                </c:pt>
              </c:numCache>
            </c:numRef>
          </c:val>
          <c:extLst>
            <c:ext xmlns:c16="http://schemas.microsoft.com/office/drawing/2014/chart" uri="{C3380CC4-5D6E-409C-BE32-E72D297353CC}">
              <c16:uniqueId val="{00000001-D26C-42B7-A83A-C9B291938F0E}"/>
            </c:ext>
          </c:extLst>
        </c:ser>
        <c:ser>
          <c:idx val="2"/>
          <c:order val="2"/>
          <c:tx>
            <c:strRef>
              <c:f>Sheet1!$D$127:$D$128</c:f>
              <c:strCache>
                <c:ptCount val="1"/>
                <c:pt idx="0">
                  <c:v>3</c:v>
                </c:pt>
              </c:strCache>
            </c:strRef>
          </c:tx>
          <c:spPr>
            <a:gradFill>
              <a:gsLst>
                <a:gs pos="1000">
                  <a:srgbClr val="FFC000"/>
                </a:gs>
                <a:gs pos="100000">
                  <a:schemeClr val="accent4">
                    <a:lumMod val="20000"/>
                    <a:lumOff val="80000"/>
                  </a:schemeClr>
                </a:gs>
              </a:gsLst>
              <a:lin ang="5400000" scaled="1"/>
            </a:gradFill>
            <a:ln>
              <a:noFill/>
            </a:ln>
            <a:effectLst/>
          </c:spPr>
          <c:invertIfNegative val="0"/>
          <c:cat>
            <c:strRef>
              <c:f>Sheet1!$A$129:$A$132</c:f>
              <c:strCache>
                <c:ptCount val="3"/>
                <c:pt idx="0">
                  <c:v>Jan</c:v>
                </c:pt>
                <c:pt idx="1">
                  <c:v>Feb</c:v>
                </c:pt>
                <c:pt idx="2">
                  <c:v>Mar</c:v>
                </c:pt>
              </c:strCache>
            </c:strRef>
          </c:cat>
          <c:val>
            <c:numRef>
              <c:f>Sheet1!$D$129:$D$132</c:f>
              <c:numCache>
                <c:formatCode>General</c:formatCode>
                <c:ptCount val="3"/>
                <c:pt idx="0">
                  <c:v>150</c:v>
                </c:pt>
                <c:pt idx="1">
                  <c:v>182</c:v>
                </c:pt>
                <c:pt idx="2">
                  <c:v>163</c:v>
                </c:pt>
              </c:numCache>
            </c:numRef>
          </c:val>
          <c:extLst>
            <c:ext xmlns:c16="http://schemas.microsoft.com/office/drawing/2014/chart" uri="{C3380CC4-5D6E-409C-BE32-E72D297353CC}">
              <c16:uniqueId val="{00000002-D26C-42B7-A83A-C9B291938F0E}"/>
            </c:ext>
          </c:extLst>
        </c:ser>
        <c:ser>
          <c:idx val="3"/>
          <c:order val="3"/>
          <c:tx>
            <c:strRef>
              <c:f>Sheet1!$E$127:$E$128</c:f>
              <c:strCache>
                <c:ptCount val="1"/>
                <c:pt idx="0">
                  <c:v>4</c:v>
                </c:pt>
              </c:strCache>
            </c:strRef>
          </c:tx>
          <c:spPr>
            <a:gradFill>
              <a:gsLst>
                <a:gs pos="1000">
                  <a:schemeClr val="accent4">
                    <a:lumMod val="75000"/>
                  </a:schemeClr>
                </a:gs>
                <a:gs pos="100000">
                  <a:schemeClr val="accent1">
                    <a:lumMod val="40000"/>
                    <a:lumOff val="60000"/>
                  </a:schemeClr>
                </a:gs>
              </a:gsLst>
              <a:lin ang="5400000" scaled="1"/>
            </a:gradFill>
            <a:ln>
              <a:noFill/>
            </a:ln>
            <a:effectLst/>
          </c:spPr>
          <c:invertIfNegative val="0"/>
          <c:cat>
            <c:strRef>
              <c:f>Sheet1!$A$129:$A$132</c:f>
              <c:strCache>
                <c:ptCount val="3"/>
                <c:pt idx="0">
                  <c:v>Jan</c:v>
                </c:pt>
                <c:pt idx="1">
                  <c:v>Feb</c:v>
                </c:pt>
                <c:pt idx="2">
                  <c:v>Mar</c:v>
                </c:pt>
              </c:strCache>
            </c:strRef>
          </c:cat>
          <c:val>
            <c:numRef>
              <c:f>Sheet1!$E$129:$E$132</c:f>
              <c:numCache>
                <c:formatCode>General</c:formatCode>
                <c:ptCount val="3"/>
                <c:pt idx="0">
                  <c:v>312</c:v>
                </c:pt>
                <c:pt idx="1">
                  <c:v>373</c:v>
                </c:pt>
                <c:pt idx="2">
                  <c:v>351</c:v>
                </c:pt>
              </c:numCache>
            </c:numRef>
          </c:val>
          <c:extLst>
            <c:ext xmlns:c16="http://schemas.microsoft.com/office/drawing/2014/chart" uri="{C3380CC4-5D6E-409C-BE32-E72D297353CC}">
              <c16:uniqueId val="{00000003-D26C-42B7-A83A-C9B291938F0E}"/>
            </c:ext>
          </c:extLst>
        </c:ser>
        <c:ser>
          <c:idx val="4"/>
          <c:order val="4"/>
          <c:tx>
            <c:strRef>
              <c:f>Sheet1!$F$127:$F$128</c:f>
              <c:strCache>
                <c:ptCount val="1"/>
                <c:pt idx="0">
                  <c:v>5</c:v>
                </c:pt>
              </c:strCache>
            </c:strRef>
          </c:tx>
          <c:spPr>
            <a:gradFill>
              <a:gsLst>
                <a:gs pos="1000">
                  <a:schemeClr val="accent1">
                    <a:lumMod val="75000"/>
                  </a:schemeClr>
                </a:gs>
                <a:gs pos="100000">
                  <a:schemeClr val="accent1">
                    <a:lumMod val="40000"/>
                    <a:lumOff val="60000"/>
                  </a:schemeClr>
                </a:gs>
              </a:gsLst>
              <a:lin ang="5400000" scaled="1"/>
            </a:gradFill>
            <a:ln>
              <a:noFill/>
            </a:ln>
            <a:effectLst/>
          </c:spPr>
          <c:invertIfNegative val="0"/>
          <c:cat>
            <c:strRef>
              <c:f>Sheet1!$A$129:$A$132</c:f>
              <c:strCache>
                <c:ptCount val="3"/>
                <c:pt idx="0">
                  <c:v>Jan</c:v>
                </c:pt>
                <c:pt idx="1">
                  <c:v>Feb</c:v>
                </c:pt>
                <c:pt idx="2">
                  <c:v>Mar</c:v>
                </c:pt>
              </c:strCache>
            </c:strRef>
          </c:cat>
          <c:val>
            <c:numRef>
              <c:f>Sheet1!$F$129:$F$132</c:f>
              <c:numCache>
                <c:formatCode>General</c:formatCode>
                <c:ptCount val="3"/>
                <c:pt idx="0">
                  <c:v>224</c:v>
                </c:pt>
                <c:pt idx="1">
                  <c:v>247</c:v>
                </c:pt>
                <c:pt idx="2">
                  <c:v>250</c:v>
                </c:pt>
              </c:numCache>
            </c:numRef>
          </c:val>
          <c:extLst>
            <c:ext xmlns:c16="http://schemas.microsoft.com/office/drawing/2014/chart" uri="{C3380CC4-5D6E-409C-BE32-E72D297353CC}">
              <c16:uniqueId val="{00000006-30E2-4C56-8F18-82D52A3E6C4A}"/>
            </c:ext>
          </c:extLst>
        </c:ser>
        <c:dLbls>
          <c:showLegendKey val="0"/>
          <c:showVal val="0"/>
          <c:showCatName val="0"/>
          <c:showSerName val="0"/>
          <c:showPercent val="0"/>
          <c:showBubbleSize val="0"/>
        </c:dLbls>
        <c:gapWidth val="219"/>
        <c:overlap val="-27"/>
        <c:axId val="746276768"/>
        <c:axId val="746277248"/>
      </c:barChart>
      <c:catAx>
        <c:axId val="74627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77248"/>
        <c:crosses val="autoZero"/>
        <c:auto val="1"/>
        <c:lblAlgn val="ctr"/>
        <c:lblOffset val="100"/>
        <c:noMultiLvlLbl val="0"/>
      </c:catAx>
      <c:valAx>
        <c:axId val="74627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7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20359DFB-6E77-4D2F-9276-CE3EBCBFBBE8}">
          <cx:tx>
            <cx:txData>
              <cx:f>_xlchart.v5.2</cx:f>
              <cx:v>Sum of Quantity</cx:v>
            </cx:txData>
          </cx:tx>
          <cx:dataId val="0"/>
          <cx:layoutPr>
            <cx:geography cultureLanguage="en-US" cultureRegion="IN" attribution="Powered by Bing">
              <cx:geoCache provider="{E9337A44-BEBE-4D9F-B70C-5C5E7DAFC167}">
                <cx:binary>5H1rc9s40u5fSeXzoQc3EsDWzlYtSEm+x4njJJ4vLMV2SPBOgvdf/7ZsJ2tRclY+NapTr44zl4ql
hlp8gEb3g+7GP+/6f9wlD8vqXZ8mmfnHXf/n+7Cui3/88Ye5Cx/SpTlK9V2Vm/xHfXSXp3/kP37o
u4c/7qtlp7PgD4Iw++MuXFb1Q//+X/+E0YKH/Dy/W9Y6zz42D9Xw6cE0SW1+89rWl94t71OdedrU
lb6r8Z/v3WWif+RVppfv118jf77/d7q8z6t3bt5k9fD+3UNW63r4PBQPf75fG4a8f/fH9NM2NHuX
gPJ1cw/CVBxRxh1EBHv/Lsmz4Pn3FiboiHNCJEUSrX7wz0+9XKYguLtCj+os7++rB2Pgez3+f0N+
7UvAo/j3f30Ed6tHsXr4AeDw5/ubTNcP9++u62X9YN6/0yZ/fFbV4Oar73lz/fhg/liH71//nPwC
HtXkNy8Qnj7X//bSOoj/DeCk0NnDXgB2JLUdbDP5+CMmOGMJOHNu2xxmwNO8ekZ4Z41eQXhdfheE
1yUODOGLPMv3gi8B7IQjnuCVfBNfQoSQHMl1fHfVZzu6a9I7YLv2/gNDdpE8ZNkeoJVHNkE2lsSZ
YErIEZYCc2qDvX+5ZnfWZDuo6+I7oLoucGCw/juBne5+uQdg+ZFATBDh0KdFO12zgC/hBPblCbxv
0Gg7wNMBdoB4KnJgIF8lDbiAe8BYHknqcJtQ/ArG6EgyIW3YnNfX8O4abcd4Ir8DxBOJA0PYe0je
Xebgvv/9IDN8xG0GbjJ+3n03FjI7IohRWMiTlfwmpbbjvDnEDlBvCh0Y2qqp94E0hb0YE8rQa240
wUe2zRyMySRQ2lmh7Sivi++A8LrAgaF7vczenTfavPvwXZtiH+60fUQEcTCY5seodxX2TsNix4Fo
GJOJO/1/odp2xF8baAfsXxM9sFkARMmyfaj2sm0L8KwdggnnT/iD3d7AXyAJpgCc8peu95uU2o78
5hA7YL4pdGBof26SZbWHzZs6R5Qi4LmeCa6NpQ7MCJFCCGzTdah312g7zhP5HUCeSBwYwiuzpR6q
bFnd671wJOwII0GxALwffwDPtUWNOSDNkORbbPrbFNsO+CtfcAfgX5E8sAng5klj9hFowwpe2Wpg
P1+x5uQIwcxwJJsEYbtrtB3xifwOSE8kDgzhi+U9bNh/fwQGRhy2a+DB+DPCW/w15FAmGJ6s7d01
2o7wRH4HhCcSB4awm8NxzAphU+8DZ3GEVkE2pfyJTpkeY6woUYDZ5hheWfPL3qjXdrS3frsdMN8q
d2DIz5J3Xl7B+eQelrc44kQ6wKI9n27AIl7buVenlFJiAB6CMviZBN9vUm078ptD7AD7ptCBYT6H
09y9uGrOEafYsW38TJtOAV8dVwob/uDJjr27RttxnsjvAPJE4sAQPm7S73lyX//9i5rBmhUOZmzz
XAscdQdTBEcjT+t93ZS/RaXtIG+MsAPMGzIHBvR1niz3spTFEbHBMnP+HHVtuGbgfDMpbDSlUnbX
aDvKE/kdMJ5IHBjCJ2nxUOll8vcvZUpg+yXCZhQ/BVgbkbV9ZIM1tzHkGG3Zn9+i2XasN0bYAe0N
mQPD+/NDuEz34ISD4QYcHWSTVzbn1bk1ZRiOQYBVg5+JN7a7XtuxnsjvgPRE4sBwBnIIYi21rL4v
9xJbsyNGkHC4fAVu8MUcKQBwIFAef9a36zertx317cPsAP52wQObAyfZsI+4y4EMFQLZR/w5a3DD
DV+dk0jHAXp8HfRd9dmO9Zr0DhCvvf/AkD0DRnwPO7Z9RPnjOfbThrzt1GPFtGBKIJnhJZGyqz7b
kV2T3gHZtfcfGLLnS2Me9oAt7M8M8nyFfNp9EZp6Y8CWOPAyA5u+ju3uGm1HdyK/A74TiQND+Awq
B/aRVAZHlnAyTRizn/mwCR222pHhNUhCmQC8s0Lb8V0X3wHedYEDQ/d6lWO0j2IMCRw2IZB98Oxw
bZDc+MhZxdRMTpIPdtdoO74T+R0AnkgcGMLny3gfGQcSCA+KIRP/mRHZSC4hRxLb2BF8gu+u+mxH
d016B2zX3n9oyObm3b+z4CF52Id9ZkcQHBMqftrn6QLGwIkxChVXMAm2BMjnb1PuFbS3DLIL6FvE
Dgz7i2Wl9+B2UX4kObPhBPr5lGqKOtAiNmSfQCA9CZZ2Vmg70uviO2C8LnBg6EK4/25eLbM7be7y
n+7t31EiyeG4AiEOoe52pwvgBZ4E24JOUgzWNNollNsO8/ZhdoB7u+CBwX6R3+d3uzzctxXGQmo/
kwjKM/Azt7VRg4WObEYgHRxPsgN3Vmg72uviO6C8LnBo6ILJLvK95IbxI8gKgrwh8RwtT4+nIJaS
DuOCgL+2hd1c2dJdNXsF6ekIu4A9lTkwvG/zZB90pjhyOFCZUL4xCZihbANe4BiOnX9uGU/Vz7sq
sh3aNekdYF17/4FButqFTvNl2ezL9wLPixHYgR9/NigvDKm9QJhI+ZQgOIH5jcptR3vbIDuAvk3s
wLC/eMhgd95PUjeQJavDCc6fj56n9ptQSP7lDqWrkviXRPablNqO+OYQO+C9KXRwaFd30IPD/dub
lPAjihzp/GpysBFgAfEtsISomm0Lqy8edtXrNbTX5HeCek3i0HCGlNqH6mHYA9IObNSwVVP0XH61
xZw7tsMcOi2Nh/4SO+v0CsrTEXbBeSpzYEhfLos95JFA0yEi4RQDeO5XNm3II4FjKgS++brp3lWf
7QivSe+A7tr7Dw3Zh3a5l94WUHLjEC4oei7I2LKCEZTXQuA84bgvd9boFXTX5XfBd13ifwHCv1dx
7Suv+k39++fq2UKDvbVRGJTIQX27A7lAT2t26m6tjh4xJxxDpc2WcBnKVH81N3tyxrbptB3Zl7Jr
3/HpK/7+ofyv6wT2ATjMYB+nTxRyNSEfVzivdQKDtjQ2tHtzpnl7u2u0Hb+J/BYI134F7e4mEgeG
8FWyvNvL+bE4gj5fK4yf1+g228tXubrkaYlO+Ord9dqO80R+DdTtPf0mEgeG8ycNXQqMvt/PYpYC
2ZQ+Z3FtpnFBzAQ9DCARZALym5TajvPmEDtAvSl0YGhfL+8qaBiW1fshMG0OfRyhK8nTygVKY70O
bnVcsfoDqX2rnw2a6y26bUd9y/fbAfYtUoeGe7jcS8krZPNBT06HCvpaKxJyRAU0NoB+NT/9vCfu
+npnjV5Bel1+F5TXJQ4N4cf+FNBgdh8rGzKtbcjpghr2X3vyxspGBEG93BTlN2n1CtKbY+yC9qbU
oSGuH6q9lFRAGzEHUahvfDLT2zJ04UUouoCyuG12fGe9XsF7XX4XrNclDg1nmMmefgj2sbChNA7D
0RSUx032aug2g8GsQzua5yU/sd5v0ekVmDeG2AXpDaEDBPsC2oPvA+zHZALOoZnnK/4ZMJpEwIEV
2/DMsnc7K/U62utD7Ij2utDhob1qRAK9w+C/+ziRgixOyON9zgmbrnHIK1h1DgOac9KmAA5936LW
q4hvDLIb5htih4l61Yx7AB16DXGobkU/U8I2QIeCdmi1Dg3lNl211YPfUavfYv5yjN0hfyl1aIhr
E+shb/5+vFfdfSmkdZKfbbqnRZCQ+OnA1Qo2NJiabOFv0OkVtKcj7IL1VObQkIYLFPZR1g7HkYxK
B04kXzt0fnTlHAb5ghOcd9boFZTX5XfBeF3i0BCul5k2ybLZR20Gh9I4BFcmOK8V32DoBbiqzuBg
11/mC8GdMm/Q6hWkN8fYBe1NqQND/DNUZMBNRnsw3tBkCGolIQB7zt/eYEyh1goyDKB3wcQjf4NK
27GeDrAD0FORQ0O5gQaf6V6uN4LaGwG9WyHB85Ev2TgHgZJnoFswFmSyR39+g06v4DwdYRegpzIH
hvQXMJzNXiIuuEkBeDGKXmsACfkHcFkZRg6amO83qLQd5+kAO8A8FTkwlG+b7/sIqlcZvRh6RcFd
VY8/G+WxcMcClMYKOBRZ36F31Wc7vmvSO4C79v7/F8i+fkXdr6v+vGW9nD1eEvjilrrfv/r4cOBu
w4nosyu0JVvnV27eyf2f7yGTjwJlDWzHr/sHVwOtOVIvm6H+BHBd9gGO0v58D5cPAtKrvkJUYgwl
8QK26O7h+SWotoNZApm+0H6Gg9v+/l0Gt7uEj3cZYgT18xJKcDmkn638OJM3jy9BDR8WNpCxzmrH
59AM+OfXvcqTIcizX8/m+e/vsia9ynVWmz/fEwRftXh630pfG9lc8seEYwFpyVAlBPoVd8tPq64P
8Cj+j0z5KLPWbj8krSah71Zljk6THrPTbMyjyI2c9GaIAqJ4b52LjFAvstNWdZHjhZmFFK6jz31Q
n8Wiv25Rfz74OFJF6EjVdGJUox5Ppa6/dOlwyVN6YmtH0cTPVSnMh6LvT52icdw+LU/0mHQqNUZ1
fiCVz2W/qCj9QUVQu50pM4V0PLiFpmRWxVapRsHmTRQJlyWoUdKEt4Pjh8okbJjJekg9VBWfmdM0
ijUWce04cGkxInfoasWCsnWrzP+aSOzVxBncyhjP1t13p4lV5JepB33g7sqIa7d19Den7I2CdN8T
2gu3KTVXVk6+OQFbCF6Mrt/ReSgqS1GTHhOntb02F8emT1NvYG2ldNt/H3L/e1r3H1AelsqO61uN
pHZTFi/iuD8RYZDNcd9VXtVauRJBcR8gZns9zr4VuR0pGrbU85v6wfHJeGniYakL2z9rbM3dyiap
CgNnZmUCfyKGVx7L/dDVcOGPyk0vF10Xn2G7bG+FbCuqGpiF8zxq3ZFxPWM+z+fJQJGb2P04E2GI
VCDHXDUkMxcDEr0Xp201F7kuPD+xBreG2awqE4czS+fVbEDan2XI6DON8mQhZFdfE7sdv3RjG3o5
SnwVmwRdDE7K52MXx7d51ZJTzbnzrTVp+slUuLwKHaJPBK7681L61GuHJD8lTlk1ymIsOve7rPBn
Vt6fN9WYEDWmyP/eC20Jr7Ot8iQj6GOcSzwLw664QQM8+IUPhMhfViSDH0wkzSyVhKiuHppZLIQ7
pKRUJioa1Y41zJtKn2FDLuphhKfezcouODdZeYuMka5VNpdVmHXHvl/3c47aXjU0l3Nuh61ifXHJ
alLPyxS5Ea/qWYnlme87gYoTTVRGR+o5rcy8kcXYy7HQHk8HNM8bGhYzoq85zYoF1k58kcMtDmdx
E7RfZCrEiQPOqAot5C8skY2usaofPfGt47SIvF4M+vTlVaFr5uEuL4ZKB+HzZa+//vqvz3kK/zze
HfqfX67uiv3P3xYP+ep03kzftDLmv971n/tHV8bz12WkE5P8dOHsTwP2lhffZMxXN9y8bsyfUrc2
zfjjvTg/zTh6DKltxwGSjEoEtOgvMw4JKwLcdupAw5onW/3TjMsj6ABMwaEHS84wsK3/MePQDhpD
hyO0apLyZPx/PoU1nGAXe/77SzNOV+X3xboZ59BoGCo8IYaA7FY6MePt0LWsZrz7UPdt7LI6/pq3
wyeet+0skcGHFJfRXa7bTOmBfqY1jdyWWv614N0PK0Rz2GyYGqk1qkCUM5QlQqU8SGa68r9XQYzd
PuGVapvsE5NJsEAy9xdd618IuKjYCwv+vaH62mnHr2FaOy5J6kaRgrl9HqbHMS9OaWFSGDEEQyaz
Oazfa/gsr6txo6quCT3SDFhFoolcf3Qu6ljeQGfGUGVxcB8ZccEq/yNi/YcwMMc5x4Vq2+EjCRGa
M0FbFbH2qic8nwlKHMVJDxtJErs+7FrjWLq0bKITxIhWXYGPceinc1nnZhbrWsyaoaAzGvsLJ04q
ldNUHvsF+1zJWrWD9BpKZ01hkCorW7s6HU5GHDG3zkKhAjR+seV9mvteRfoLY9JT3tbfGjRqt4hM
rxjVrWoGP1FO24TK7oeHFuUnLeZzTi2uJAq/BDgNlBSWm4ikVKxKVaDH44jwD53ml5wFbpBXX3LL
/t40wxnP44UVj55DuVsafNL48Ucy0EwFtvNJwBPyNQ9gc6rmXZJcVkx+cjT6HvcjUj2SWNkIj0ry
7iYl7DYS8pIUvHPrNmPzosFGyZ6f4Uh8thKauc6Ivug2SlSXRWcj9W+KvrosGussqGIJG23ywKzw
r761Phe0Oe/D/lMtnTlyrG+NFd0lMrKVbQ+w0RYBV2OSixkx5Q8+DNeosbQqmbwAmM67iHtlFXk+
+4ELe+YT+DpdM84LnhuPMH2dh9GxE4lcoYAvxojbqsryv2jm3NLUDG429EvWdDC/cFmqNMhi1db5
OW6Tex9mpKxo6jGSL3DinDbOcJw79X1rsUiRkH62TbAItLbU6JdXGIFvgOO296BTe6gqa4g8K2yE
GqgoFJLxl6iGhzRmVqTs0NiKpeRT7RQzWaTHA0orOTN1Vpz6QRdckib/0pvbpDyhsOZu01qrfCjR
cRjEWo01u8nLIfw4dJU88eMkVTk3/YK1vlao6Rh4GTiaDU1oK20VP+yoq+V5h8s6++iHfjTM6jQu
x5vWznWs7LYXRqrAj9l15tMidq2AftEsymcMN9fQG2BU/sBUn4FLIbvWS0QUeTyTi6HojGdhIby6
q5JTXTA+S1sfz4qO3uatHc3GEZZbEsKUzrraUWFfgV9hU9fSqRcI2V+LondUHoYf+nC8J3WvdBkI
T+tyjrrGa+IUz8Yeg4PgiNCLRTBPOL/sGVN1od0Ria/azsB7sn1Vi3Du1PWJFlRVaPCSPr9KdDMv
Wqt2R8uc5YUplNXWpyzMgssk7m9i5lzD08WLUrJLE1VXfdncyFgeV5RlbuB3343DvuQ5/ZYiniji
l26U0FSV5TjOnU5/scOeqXxMQxdu3bns/FaqrKOdG4fJOerGBfyWuL2OClXW9m1hOYUipTWraPxj
GMubIuJfilJfJBX7Xpkxd1HKPzi1PHWaHClWhlTRssNqqAPLRT7+jvrokyDZOYBXKhmNnapjfpO2
bQcrhNau3YlwVorAc0aLedDUYVRRXHp5DYtpgKXHR/ieITkxQdsqHdafogasAMGnCPMz8A/PYzup
XPD5a5V0Tqj8NpWK6jRRDReRx1I8zvy4frDCEVxAWUbzupFaFQW6zHxpzdqkGY5Jhk/HwF9aQ3oe
xuONNVCicD/cWW0ZXQ/gtrtV1x0XhmUqHWTs8aC863KklVWhws3T7EYL5ywsijs98toNCEo/91l1
bGXkhpMmdf0C0Ei4Px+aGHnCF2A2uhOeFr7nO81xEcHuUNR3knRMmTSBuWbSprNVggKrOq0QHlqF
kiCbMUeaufFrI/8iqan5xf+PHtFL1wYix986Qy8rVJ6ODh7jxEepnzEthub2q85QCC4DteEGAxjw
lzMEnXZX9VJwQAEBJZAgv2JaBkfKeHW7N1qV1cA9oy9i2lVXIRgQmtMIyBGFlp1viWnxytdZ84Uk
dG2G1mMOFF9SqKeHSP5lSFuPNC/KpukvYSXLWdv5YQEbe8RjN+Zd+9Gx7OE06tssniEEgVidsxYM
iekhHJBZ+fWFK7nFNVu1K5xqAwE+9DqEOB9uSl5x9C+1YdlQxDJs2ktSZvgyiMfMh7WYO6HbwzYl
Vdux5pa3BeyIVSrq0i2jKg6UPxrOXCiSyO5lXaMPMEbYeCRJ8M1oWwIvBsf2H/Bg4X7+e40JHAVu
aAzBLDTflDaHGwzQRGPNQ8B2qC9pbwdgifoxuWmh/T2d13zIbfCLehx5mvtCjdwZtBpiRBcQIg4Y
wte8vg97Y7AL+5btmVrnrarTELWKVxCEz4I8Cq/iRp6mRobGAwJNfjFheRYnnd3PtLGcC12Fbbr4
/bfahAHKRRC0eIcbbMEnf/zSL3gOPlhBZxWJucxqX37JA4GJYjGBqVFkTX/V9ZW8LnycfPv9x67m
2su5CIXcQNdwCld3QdhA6EqtFx9roz5ghQmyy0yM+BLHYXOZGdhChR9++f0nTSOA1SdBoAF9juFG
ihWns/5JRcZgQ6rC/FIUiC3LLq+ShV+Lgai4CGeobJLRpWgQuRtRu0v/26RZTYr1LwoTBfosM7hO
Ei6+mH48FEJr4DBSfcnL2F6mUWMv42Slgz2mZuZUea4GBNAvuqTsiCrjnD/UiTQnnRzYee/QCrm0
i/IYQugsvaFVAVRTKIbhobDawkPWmHLXljmrjm3qjI36/dNb3bky1Z+vzAY0AIfryqHDyvrjQ05j
Z7btWxe48dOlrmoTKGzFdcYUHYYsOO1CHX8Hj6c478cSHJWc9doluOU/aj7Czj+EAXcZsCoPuqL8
vrWLkD/F5xA2bw/zmL0BMmUUJtHqIBAy8GwO7PHL6eRUQqMqrOlFxMrCl+C2yXBc9HVP5bxum8at
+hJ9bNPBBt4gDIEbwtnCkKpYJKwgbpyU6acisdNe8aQLvnZRmp8Mpq5VYZfFjWNi4fll5rsNUH9a
aYgTO+VHJrvsCst8KK2RzoIAy0hZo5+lLmkhvrOdOvlEouAqGDLaq6Th5WXtl59rklor4oPAg9QD
AdvAmnFUqBPReRLa4tZHDTsNHYHPx6BvpduhkKUuTDp9YolqSFU3iNHDQO94Y9TfFaasrxtk8VB1
ac3nvimbE+YT8rkMcRcvfG5h8KzD2P8O2W4VuEdZaf3VpDz1isKQkzjPihNcyuRetwX4cQVN42st
/Z6rtmTBaeVXjTvAc1hgRuSHskv7Geuqco5xjyGMhgu7ArftIEB2W2BKZ6mhldcU8kPoWwHyMM7r
Y9hqSOdmKHKUqHnyrU9ReEYqWVzbtLYXjYwsMjdOOi6FA8yZAXdwnLcrr9jqe7QkJul+mKAobHck
NdCaWUDaYN7XUQ6Lo+tmQ9A2Yl4Bu+clNU2PM3irAla3yuFBpy1XkYkiy+V+xxXPgc5TrE58l9ZW
li4qJ54FrBnQx45i5mlToURFMJPqOa07aRY95f25E49j4n9surJOUzXoZMiq+9APCRlvTWf1PA2V
rMCU53dkSKOaVqqpmwYcyDqGoKQHurccF61sav8krbQuVESS/Bpxi55EA6UNhDYSKEGIhWQPcAHP
5WXAloVuncRdOXPiLkBuldTY/xCWyOH5cTzwLvSGPpH1uWNqCjOq83NsOreBvXDuWGHkf2hh6TiB
W4pCwISjsUnnWaIrqZISNi9/1rfacS0fqoLBk/ZRxuD+Nz9N3VA2nQ/hMk/SmfHBK5jbWZCOrhht
sJgZiVnjpmFlJao1Q2CujLbSdJYHWvywmpZr5KGc1AvNRCMubcsP/NOM8prbkZv1phyHYwNZV1U4
K4KQpzPftGM5l5XJ9HxInHQ4BoYxLVybDIl2eW8PyaLSpbZcgJV8tYp0xB4Uz8WpB/8i60MSIcvA
I8+yr1GayvSEAleRzOKwdj6NTU3pPAJyGp+FXWh4pnhIwnrhV22RXcNmTE+jYCTxvClAg1leJwEw
vrgfpSsiCAYvUjHA1LZgqVSej3FzWlHbTrzAp0EDEWMLcGpuwD/JxoiOD0kM6UieAAVSjw5pWJ5g
pNlxoHkMNFAcl9TTufa9EYgKW1ldVciryO+AQaG6jEYFROZonSE/YXNc+IEN6kpezPAQjvlJqHEX
zGLJwk6t3qew1DKD6RPQ0u07DWxV3WvrrwouFhgsYNljQS7xmOlRK9Eyi34eko40l04hh9zLZFlf
2E0GW1JgeAwCMqXwtHwd4ux2xEkWnpZDmvRz09kjkMF1UH9mEbGXdu+nvhIYJu+8yXpOZ8aBcw2V
NjhKvYSWsXFF58801uVt0nXgWURB1F4b2+m+F1VIj1veBf5MxDYCOlj4MI6d5FE/z6oWX459QdlH
U9v4M64teEfnWEa4NR54P2tJGunjqiekO8l4YMgHbXH5JUPlanJGUWkWPDGhueoHVgsXlR1gEwJh
k3q5AaN7BjuY/EIFgtmdgpWsPDgM6vMTCJh8chVVTRx/IiKT7KRnUddc1H29cj7Dob+yY8vpZ3mX
wkfn+Ti2qidpPS5QzFdffqV6B/YJ9CpSfMnsDL5FU9rwqMI4j0dXxi0snSIBvuNjVnFY8lUDXkEA
r4FNJUChfSgxG6pM0SIEWizsqr65SK2wMEqjpuznPfRWobOhLcnKaMBicuEbgQHpJV75yXWWfgG2
SJ6KVmuhRGjHMC+GwFl2GQU1+ioaPtG6R+YsADc3Av4gi6NrAbvFwmQIX5YyKG+BonVKFbJQk9Nc
BLI588M8aL2h4iUE5Xygi4LAY3URL4e7OIntq74xKD8u0dDGXzsnBVIy9a0UCAG5siG6TIDQdKBo
YqbJEJp54aTyK5D46TztiqBUnIGZG6ou/KTz2pzJNI5szyYVCcDsrc5s2pDIL1VktcEsIRksk9Hy
qTxhWY7LhxQM8nAqMEypWbey2LPItuCJ9u3YzmCT6cozXDXEcX2Z1C3stLRF4HqX0V+VbOVnawA3
/XSUdYXva5MNBmgzzNsT3REYqk9xOLqsC5zgpABYOteKgdMbgUeuL/qBJ9dRa0oluDlmad/ax2Pn
ADgxwmZcFEmc5xeZ07Nzq0Ysn4VllrZnwdAVQK/YJg0/gydi7pHMwIyA6TStikPTAe3YtaKEXWAo
r5OgxPobzkcqWjWCBzbcFDW1JAxm/GoWcisOTi2/6L6HAbJaN+HGiU+0RPhjbyx/XFRNafRMjw1M
Uk3qiF71cTLal6lTJIkqixY5FwyHrHcH8G7MrAsLQK0TmQ5UNfIUbIcxyQz3tK+8NiGiWoyihNkf
sz7g3uAPyAB/YZzya2cP+HMUVjDXYKeTX2Cup+YqkxkGA0sKGc1FGjqd6ptbIppOYBXHLb+xSVZ2
cGoV1OyC+YloP5W+kXCOFsCMnsEJJ6AJgcPQn2tax/k5r4qQXpEeJc6J3+dACem+t4KLuLKKzkuN
DzYDvLGmvkgSH/SvZBzMTSji0Ot6hE6GksG6H+AMWivmh3viSC70XZWb/Ec9PTZ6eWr0r/+FZ0u/
TRT42czpJQXzlGBAQO4noQKpXWC4JISJEkI4yiAi/0WoYEjVF1A4+3zy9B9ChUISP5bQYgouQaEc
RvuZIWBDl18gBpBkHM5toM3+W9gUvroifi0ysiEXCaKi1Z3jUDAAtSLrMUdaJCwfoCf0ZUrHdl4g
n8GZLr/lIpjlvPlKaucmHj/6Q7sgJZ6RUnxs6uDGT8YYVhinbsFir8yGC+c8Cqw72sU3KZgzD9Mq
WoD1/w6Ub62GDgxOGh2jIOvcosnnNq58N2wjcCMQ/svK2uI7rjOtqJ90s4hpfz7CsUCnK+fYD6rT
DMIzFdHwa2rn59kgb0cLGNBCVG6ny+UQxR9lSJeVg7/17UBcp+4v6ha86gH2Kq8oozM4XQmUnebt
Vzjx/ksDOX2WFUBbQ/jheKiIbuIm+QsNfDxhaXDiGyufO2I8HkvyF5xhX8qscgeHX8tqEY9oVsq8
UkDa3zShvoVD6uMO5V9NZQWnnBSeNMxNs/YSR3AInAyX/aAvITZyy6GKFfgj93lRfwBjUKrS6S6l
7qjKNTlh+TwqaxUOuUvIdVBeVHxe1PFtSSClAFRcGDM6qsbA77PEqNquQjeOiLjxma9y25jj1gH/
CbIVFpFvnTtp3h3nNW9dXzezLo8+gVE7d1A+zpkTWm6bJMcl3KtZWWHn1QSo97BCEESMoWu3zdUg
5DGKkKMQOM2LMKMPtdbsNMng85LENf/D3pktyW1jW/RX7g+wA+AIPjaHnLOyJtWgF0ZJVQViIDiP
X383pbYtyW4p3I/39ku7HY5K5gAC5+y99qHHV6ep+USWWSQogU85mrmylS+Tn4UR64PT2ImLrsKr
onITX8KALGd5GnmOpiVIAugGUedOfqKJN0Qmn+uIL+UU++NAI63cGvpx28ZCdEUsAnges0Bl3xXL
ddgFL15l7bkluk3f2nFGrDmy7flmDPw2DqiI/dr5PNuyjt1a3hpayCTHL2dVzgevHKO60E2KgYzs
VFt0r1l5ruT0cSimh7xtP1U1G9GVzqhqfb+MSgnXcm5okSjZ7Ye5K5OhVo+9aCowKkEYi7y4yVrX
iWEs7QralZuGw+JaZpwMqtw7tgBlE7B3/B6oUKqL2+Qb5ZOtRzVB51FE1cDsaNbOnVzMR03FsaPj
uVxsnI+dOWRtdyJo4+2iX6CPV3s2sE+y5fsw51u0EDAfWXs/tuIO1t0HUfp7YspD37hvpe/vFeEX
i5iPptUffAX/TC/jyXWao9OX535QUAbUdKOLYTtl4uT2fmIWKP9huaeNu/Fmd1fz/MBdUkXN7Bwr
PR7Hllyjk9ebfkEPwbunMQAl0brLBqrKperhdc1LcGhC+9YT1VGJYeequccnLPq9HOyLS5ozr4KL
qYbPrZgD4DD2XVu2j9zUx2yS5z53k5zPt4ZoEinc9EpDkBnFI1fB1uPlrvAF28+e2frDCA4m6M6O
AW0Dne7GlXzv+vZNYQ0ZHNw6zvtmP4TkiUyjjlEn6yS0+9sx9wCaDBwFIPQGsxRPaK12QT/E1dwl
9rRYcc/M2dH+x4UBsLHGtAvHjRbDs2n6XeuR96XlfSSEnS5t9iQwdR0M1YI+/NYGRg67d9Q2mBoP
e9/kOAfLLZa08fUx5P3JDdV+6vouskCSQMe5uIM+ZiikIlny85i5RYpO6NMAAxuWi76ySLity/Cq
QX2LVmTaFDWhqfDog6BwZqn76Cjrimbybll/Qod5nyo64W7kqWOPR8qtx4kMF4fSK6KmJEfTnTbz
+GJb/hKLigvcJ1VSd/gtGuptTM/FtmbFx8pxznNYdFEnmp0q5VYZVCStTx/wEM1Djfouz2XitdYN
mm8a2+59wPtUiOWT1MHd4nX8ZCC47AnPbqvCnC1Dsiirdeou3kda+dvAzuCij95Odr6bokGwdwqG
nW3zNzV3MgpMSY5zMJ9Qw9oQaipvQ4SzDWqvAXyTV7E9sSbyOdnBP3pqR3FXm+U09/w+a9qdsRYe
TSN7MKPY4jPf81k/dnU+oBm6VkolkgyxLf0Z28q09dzyMnb8XpClTZg/7Cy9bLuF7ZvWv1k03TU8
xFdDL1aNniYHoTD09h1EUJYSauqENSOcaTreVI5/bjXO+1S3lq1TSC0wIgvRYfP3g6Nt4AEXTA+b
vPajol6CSLABd+dyAnk2RxABm2ieK3SF8zbgJrxmhQdeAy5+uliijuyhFhH8wQnARvFpAMbh+kZu
cMJ4UQ5DM6lsHaOAjL0vipUlkgliUlQO4XCQeoI7as3vpmn3Hu7iSM1GxY5saOSLiaWe1o9Dye2E
zH6TwCkAtwahwYoKkIJxU3C41F11MTXtniQNQFZ5S2NtejZ6N+1oloNmS+VEo3aZiIbCXa3mRSeo
9E+j0xyGSlzbTG3cSaaBvTwUdXbL6+bY1xB9wEmBLWF9amj9lI1QWAI+pg0FNDioadu7mUIH1H0a
ZB9TxZ7dzDkP44xDRiRFP2y6DG66095XBO4yC/IX7KwPxGl22ZhfiDe9ZdI5Fgu+pjAXKRZSCeTK
eaoW7xiI4pwJ7cQ+5ESp1QbCzAE8TI1tr2eJ32QXSbwEHdBth5RfFBTLvuL+yZvEjjbAalS1L8Ix
8kqiYJ0ARvSlcxOOxV034cAo5zkpjLk3ejRxYakjEeOeEOuMFHaMUmhrT/UexgXgj3zPg/rIq+7R
d52jhlXbODhpHbZRrPqcySWVit9MGSqF2avSJctTTHaKvbp7K/LwZBkTt1h009Qf+1B/9h3CV99r
D/v2trFlCgwvDl05R07h7/KJ3LUrbdkZy4rh+0RzwNOlGTfZwJMwkyTqYcB2ku6K3n4amBtrCUfK
syBYBkAFM6xHYUC2zFo9afTunHpQ7xo7DVUPio7rvVXJhzDMtg5brgmU1Uh19H4e6caR1WNJfZI4
BdgdaxCvWVMO8QSdIu1y52r0yFXGnY8T6fwUFv1KMm5lKPYh2MoN59lxUMtbNXtXXUXxiUcN+dDG
YuHl6MUj2CfUUhVNs9lnl5KWB+P2aakZyNaO3GjXOuluWlaWYtMCvYsyL6fAHkmxy2f/2RvlfBdi
p0mUnk7TxPrEGsvHyVtugAk827bMNpWon8iA8gX2wka1g45Ni0/NMroL160HRn80lGG+442WsVep
cwWVQHFruVh2c6wor6EktBP4mOJ9oFOLErE2CSih91nNCR3qOy4miPtLsR8DW4Iz6E9Ls57anvs0
UdxokgAmaKYQre/swoASVwpahivdfB/kS3uqssZHP+k82lzD5ABoFbb6mYAE2a23u+8MkHsNTnPV
DM4zy7s7U7k3dJzEKXQM1KRqzytyb3NUNKVHIjH2W07KhBTqVHOy7QO3AZ1UvPes1NjL7ZQ77F51
5UF08qgGH3XmOKWt3T3NtL4NJ5C+pgquJOVXRSBBi7jz0Uzyodbhszs5t3iEc3n0HGnSnvvlxu7c
56UI92FLrVgSYbZmwAtbNd2UVHQJfLFhJzWI0dZUOB25WxDnDgamjTaiaSw3ZXp2bRkrx7dSm4ps
kfHPvaXvrSW2zigEWY15kjjjQ4w5+6GBsgUh0O+MuMiqiow5t8sUhe7dzy8ClPCbLu23i6yzdcCa
w//7wRlS2dQ4VtuKC5n3ljkTKwc3e9+N9z+/zPfe8L8uEwB0hMvvwhxe38Y3fmZGSIgugKBwt9/H
8oPl/Mri+vPHWMfpIr1I0GyCpvz+9dtw9svSL/TFjFhoO5a9/O33H+BZGfiG8EXhOTc/eNs8MNni
eHVxAftWeNdeePr5639v0P35+/nh/bu+ormFrfTiFluriBXdNEHiimh60zL525eCtewDKoBPiOks
P/wUmoE/HJdSXYjc9U3ckagCPOjGOIat6hf26Pq2/3B3v3ys736WdYl/87MTKmAu+VpfKicOQcqj
7+oS7Knz8Asf+S++v+8u9MOHMoEMy559vZAjEpNHU77BObIexdUv1tpf3JcYMYmgBcPpuKYtvv9Q
jmfsEgevubRwAfTLMKVe9vnnv9Ff3C7fXuLH5ba0Hmolj5iLYS8ye3at/2A5wwl24VfDuwZ39/1H
kLX2OteyzUViB3SCSM//weYFFAIOFdQfG7PK1/zIN7+8sQzqe5+WlyV4GYOr3gCE7H6xd/3Vj45F
HHgAl8FJA//57hphXlQGVm9xaVD4zTGrI+rdIDdRVsni/GIl/8W12MotYZwkCyj0p++vlWcMnIb0
zCVfe+pUlHE+p0Edlaixbr/8+P/KLF1/vT++pm2+xd6/0zP/D+L063n2zV3wp2zUPzXCAa9YyH/g
Y6vi+fXPflc8Ac2vT0FgcDHZV/nyd8UTwwAD0GDEcWwCvBK37W88PSKyBIMhgWesw0tWZfN30RNj
i7B6kKnDg44wPBLr9G/w9OgOsQz+2PC+xKKQsEJcC2edjadc/rAk2cTrsGd5f5GQAg9Mh+65MdOR
oZSNvb558JHtqWWndqYM9PKWl21t3fTzDFsbqCwcVQ3BsTKgO+ebjruHsi3KTa1bEdEF7GKgqLUV
enAjt8o3XA35Hn47iXmVAXgcW57H4VCbTRFUur+befUcQvaLLB/wcwDTU8aV3bqHYbKWg1eZCcGt
mSEP0muVzGtCpENUhIfIjIg1PTLTEjwIVeFer9mSak2Z2GvehDlfkieQhtYoCltTKdWaTxkaiyTB
mlkp1/SKXnMsth/CIYEgob5kXDgakw6pFw/xF7bmYIY1ETNoFDfWmpJp17xMM7ZXaM9CAPP1c4NI
zYxoTY7uy0bUhrj8OK7Zm25N4Qi4P4gAsHjsW3R4a1aHZ1aX4mL8PRtL/+O8yCHb1F6dR8BA4NDn
Leropr/NlXPHJDH9voJw2d0ItNs76AqxqXN/V3tza+78joRNlPdZMEROkLlbh44DMO7Me1dZP+7X
wSzb3qDpXwpzPcv2ynerg9H5VU3sI+usTdmOB6vwk3KBu7Lm0eQSQ8B6HY19K7rw+b+bB3YB3Fko
uf59Fuf+LX8p/rR3fP2rb/YOnEVIufgOGM8vIOnve4fzDxglqB6BktrwRXAe/2vvWJ8o7mGkEcPY
cPBTeIrlH3tHiHHieHQWaldgmjBT2N/ZOxAE/HHvAAGHMZjrUxZtBlftxyNTo+yEvMEuQ5irNpGO
8wE1wE4aY+EG5SntXKwca5hBZ/f7aUT0pSxsP6VDeOg8gBOQ1eiGy/meWWW97SXobUOFjlAYp7Kv
PnN7ohTibz8htuKXvZU4Vv/QssW9BZEzbv3Gz065O/t7OQWJX9swYYKhOYPe6yOP2/lmCuinLmvf
CZDxXTWaK3T+qyxetioVU3870+kmgPlyU1eFjrkaWUK0QViH+UWkYXZEvA+raA6rMCrwrtikNpL3
1o7KIEtlgYQk68UrNfbUJ+0aauiMHHZ+m/GIVwtYfweYgcoMvWS2LOGQgort8tDsAqppBHHyZhHa
RE1AIDmEokE4KWRR48AmDp3xDHT8Isv8MBl71zXFqk/YLx1QjKPPM9C+3QBMNZO3cD1i5ZfHwSJu
1PiIPYminrdLDlKs6ZuU9XUeN7mfpYRZH6qlhYHT7IAjsL1XL9dQ7OYE3tijUwefy6a8qhHnxR6Y
HxDRvfa67J4PRkYjcpuDCt+byt2TPjx72MGxw1l+TI0bwBcvn+SoD74Rz5Ps2ngOrfeJszzuu3CD
U+CjZ8K3ygSgZ4AhxNJA1jU+vpZBOxWinzw/CQGiS8HZ/mib8prN8kGRAIRcAa5SG4CzFmKXaVEa
wAJt++gP7TPzp7hE8CVVXEBd5yIHjFE/lE6oNgXRXjQxn8OZme7RKMfokAcnFgPpUrPQIfY1JBzQ
YtdVC8GeBKNMm6X/7Fbd05CrV8Rs3E3m0NcqU3KTT3l3MBlsaAuUMDfBsPEnJ4uXGgqzwnLd9ugZ
4RS5BdKwFJpJ5Tp7qw/DLWeFjB1W4kYo2fuMWLGr2k9ONUJ2AMWWUtmqpPfbd+Q/fbzbuYhx71cx
UA69Qbog8nPYSUEThnEtcI/AIAepVeYL8CVEv1Zhc4Q1yWF9ASedLs6Q7WzPXOeTufiK7S1LwKvf
4zjPxnOI12zd7q6qxy725+BaFf5jEBYXZWrEoBw5J5mctopSkDbirTXdU6BzkpRTh2pVVsj/BGET
l2EX4lAzm1JVZ9vut61VfIAbsFc1P3UFwkLURgdlz9e2hvnRQxcOxhCrfZouhbaXA2yI57wVV56P
EsInY7CXdXCyw+IK1chWW04HSAE2ZqnUEvl+JxKeUwaliop9L8XJ7sWJFtWzpoDa2dj2kU+zD27g
PfZNe7EL5W7he4bJJKkfQ+X1ksZ0MzLEgYqsvttCJDHACpcpRgTkdvSzxyXD+6urHukn4WDrwd9x
sFIR73RSSbXPluatBgGU2otGVia04eSWC2prX0UhvtZ46PJHO3NuutHhCKT0czrI1k3UAANX1eQd
sxSOrhAnAWo1mnThYFnXUJHE8+I791mG373JSqTeOm1FStJbj4XPcDTQ8jrmxraQ+aMLTLSwhyYP
u68GZ4W82XDT5P02M/b9kLdnMlhQkSt2AGFeI2Ne3GjIaVMgrEM+6g/C60xCOoTSZ5ZCN4fuP9le
jC5Lx74ZVapdiLULyc+LGS3UDuWUwH5550t2X1fciWZqK3y4vNpOuXxtKu/CS4pKgY1LArPejg1y
E8cR+t6uY9UmGBHWW+rlBmTZmCLYVMUq5HeTI9LetnZhVh3DsBg2btUcEMOAD0VzEI51MW+d0e9j
7ZfeJivmp6Ihm46Tl7qdxHay8x4m0HDl98UH5LBPS1DiT20kvQd300ieIp1+FFWzkwjO7KAgqHhc
fBFB89nOAf2MxNfZ49izp9BJfYk8Em3eOikAh9Uvy8TTQODubOc+Rg71uWQmyRRTMFIyRIvILuiw
m/Ju4w5YBAT7kYOTIhCaJZ4yMB7m4L7qxXlxvTfVYaMUjl8idxSAk5ynqFvEmTpjE01teGmgkm5t
d3zQWLcR0wjtBSNc7cG2ItxoN42HFJQfLOWWzPwFZ2eTliJHYhzFcor+wr8wZrGtFXj2tmmbJ6Ho
nWd6HZdL+AHmxLNUObA07AtR22Fp6KCi2EHoZrHZJydjGEEQNhu8v0+NrEuge+Vrmy0awS2Y7CZ3
lisYbl6SVfU1zrzz6OK/AXY6dlBMo25oMHHAKtOw6F8zX6FxDupXJ0ezLkMgRFamkLzMzvC5MKOA
z/kmLMMh4VPngrnu9XqX1XHGvKs8ILjLKmEi5O0RG+c7YMp5GmCftDDyYLTM3Vwu+VZY8iPStp+9
MYidvCi2Waa2qCPwG2TDHfUqGtdDHRwWK9hXXY6j2LgKBJUbxAJtSexbtL2Ei5vwuXhXRJUxK8bL
FCDA2lr8RBxRxGFXvTPL8BSN2vNYWjS16sLDK/kvKve8qOLWE8IG2U0DexS7OTjDszvk21y4HkKu
fc72BPne+qrUusz9qBGE80iKelhgk4V1/lWQ+//ehHvIUv2sjj6V7f/8Ew/f0W/tj4341z/9rZjG
CGeouWio11yBQ1a657dimjLMFXOhpwcOAjNQgX4vph33H8xGlhoVLtQz8iUB9ht9hAmDIYMr43l4
MhrzkHn/G4349xId5F/KCEEICS0/ammMQvlerZEADdloQnnVF+mC0ivLt+6vElo2Wwvyb5v99SoO
RtdjRKZrY5b1WtB/o3HVMPa0t3jyqiul0EnJCHTHsJlZnDm2SqWDxE4J9PQUcAb+uMplrBe4S9qW
t6TKb7RgW9vLxWkkpE8ItbyYMtzAYDVITDh6e7vY90N+FkO4Q876BOH2Buf3uV7KI3T7i2j4gUg1
R8Ww3gykxmiJWSO92XszIMbwlU5goMF/4z92ChkL3b8Lb2rgafg4YJsMlVSU4e+nwArBE9DMP4xI
zGyzEQ1AZ7VzJEM4a1O/lDX8NQPA3nYfAJUGwIc9B9lJMOUWIkxbQVTup3lfVzpFXhlzBEo6JzNT
ZN7xsMrknjqmA6PqsCt/budpG/RKRhPSvWjkncphD4tdg9qpbYDs1uJ7W1qOE2L4FQ2wAca9V3Rz
FpHJsy6stq0zXr9KWlFGyoInWVpmy0pXJH6fNfBhbZ00ARM7R7vq0E+1z65xvdb56M08aI/2XA4l
9ivntkS8bLrO6RrV5XN4DBs/OAy858/rEwkehwD7Haye5c7tTO/uWam8BhyVNy47lg+ZH5OxDT+U
JcLHvnGr1OqJm9jVlGPTUmNccz7vBxynV2HfB2mH7/wEL6F9aXN+nGaQIvMETCesxd6ykXmGGwQT
Xg/j7TL0B0mgNYYlDW/57FHUhrlI2Bzmm7LC0JBJubCAaRLU4hFe/nDCTzegbxMgQtDYJK3tI7+v
J3FA8An7PmaUbLtO09iE2RoHHoACzSDBYdbtRtcEST7Z7Q2vJE2ZVZzhv54H4P4bQKo3bulh2kyP
uL2vd5gapBLukOs2HO86YMAfOKLk7yXBeShV4o+T/16KPvGKNlFZTe+J1W+4320su1RpaMGrZG0k
J9iYrV+9tm33ZgQetynnh1paSeMMh3AqNthAAD0vW3fCEBg2JE7Y7YDDwKnME94Mn4jXn+vC2uiR
pk4DS72fPxvQTLz8jIwQTUZfO9sJ9HuivOHZ88UnvQAHQVypPXRI5CBYsJzswt473D5joFAy9uoZ
KTikDx2dGBak2eBvuM12mM3wPGVtygs0KzWpgRPyKqKgwffSQ6gRwYPEC4JrfMZbr+9RG4qFJ5iC
0cbuQMQ5h8ET55l902nMxoFkd0Rzg8Xc0a2uJ8BIGSo6yGjHEDcRKYPIDhtMamEnVjknFI+P1tLF
ygvuepvfmLo6Bfj3wQ5PwBNu8lActI2JMJkUiFlNkT0rTMXAPJu4R34u5g25Upb6WCr6sVLFAUN0
j7CrD4iA3ywjTcCKJzhVz54r41rX8xHs0g650hxo/Py5VsGuD5H/byqBGP8ECGs8sHKZ9/VizKFD
bVPMGSYb5UYnM8dcD29yFIL11TaDt3q7zFb9C7OHOn+xv6+pQTwiggEtxT+/33nzmWKCg6/FVVkr
G0VgCC1+mFVSFINGp+SMECGzDccYkX1RLW+0qtubulbkni0Mesg03faNPJEpS1QYPJKp20Lxe0dR
xlEvNU3KZUYif521s2BN60zEZQZJYJQYTeXWg50ErNsNJeq7YOljIdsHO8jrdKCdE1MUQGhC4rGO
22lPKxVEXWa2VMIpwMARjZESbRG8Alu76wN5QMLluLT6UPf2KajKE2vtcNuNSJ60s9jZU+7F7QCJ
JQM5mrtyC0koQD/b3rpzT2NMzDqQPMR97XByyjraRbKZPkgBiTj0e0A9M8A4sZi49jGuahLqPFTL
Vd7KvRq9rQeWMhGYNZEZjOboWbMSRAiVdTL1eHUClw7N2SA8Aj4P8y13ONcaNELo0Mq5xSio5qKk
voWyDh7BDDrxjSVQvJIoa5prIDNDUmBMWNQ08oM7A73kk3gJSXBEkg5tAhYoa5YN4j6vaOW2tEJB
6NJnWQBqcfzYD93diH3IacvXMgxOpCYDJkxZrxn1lwjhisjvMS0FQzAoYJB1L+tOArOhbKI3IHWG
iFnqGeOaaCzbWaVuzi/O4lEU4MBC3EqyHUIyPYQNZzxi7kRz1git7L+pnv5l5fyP+WNQ2vdG3pdC
BMYCpEM8zRXexPog7m9LBAnkZWoGxFuzXiSOPDT2rxKoq9v4RxGClwTDDeuehXgoMKRD+oMxhUyr
QUvLMdfCR7zSv4he7ER124wSK0HHwkdqTKY//1Qw8n5x1fVzf1P69JXqIMVY1pnM5g7T6NDD4v/g
VHziLmoPKHIy7pj36GfOHriTigeEEXFXjBh1YcM8M83yVFrBSXQuiZHw2OhwpJ9YDoK3IPKDjwYi
4QqDa7T77GdIB1Lt+D1WkynTfglMyiqrTihArDgw87zvEa/6VBqJ9nEpEKAR4rPGWk0RBMwT7MBz
0sESj4c+vOtd8HfYDz/A0oCAw53rfO5eZRDucCjdt02z8ddsie3JnUNyK5UEFQr4KrOdl57EdeG7
STOiqw7EdGvnJjFCDHHtcD/ywvmIRf9et4gqt5XYN661m0f3flrko0vUwevAdyOmz2FbODqWHXoz
JIj3apFHe0SUZc7sxNGE4IBR2GXJ44AONRKyOLN82ppmTIdswQomqeo4QohOlZSyYFG1SJY0OjuD
Mo65F+xoCQST8ekuRyceTZV133doJR0HbhFma4BZFkVE+/LFX4FwUqyKbdwgxhW19AD0yIoGD+Cq
AQVUUfrBzPluyqYJDk9/VQEuSGTl7RvQwKwmPXAtFtWeu+WVewrAw/5iuf1qjf+gjI8uSgx7wWqT
J3PNr6xNfawfxu2y93b+CShrHn+2wcgd6Nl8HI8/v/j6sJq/uMECaOewfzE3cX1z3yx1WoFVVMy1
zlXiReZkx9UGLBY9Wo/BhqTkw8WKT49DKgETvuB/9NV8ItFBbLIriLDFL97N9wff17vdwfAvICg+
2qjVFPn2zcxkBPpIZX6Vk+vK0Qi8PTbD7uef+Ps968/X+MHDXJqit/IcDlZZv/FmF843P3/9v/wM
iJkEIGocYEc//JrFhBk1BFHVq9K6rmGuNR5qzq871H/bd/JTG+yfQFLN25879/Wvfu/c8QSuFcmA
3YWAEKzyPzp35IlIgNEsACq+zFrBUv/NQkdPD5TDwQM3PZwyX8yp3zp39o+1pQ+AEiGHBIP9701h
+dOsAjxuAuPo8AbZ2lbjpvt+ifMGnoF0mL5YtH7mokOYstef6OztNYW8LLGvtU2fBh7shQGDIR1+
Cuf6amTocrOxqPeFqAsQolbcBL29Qb20IaVzN4rBTllQ9vHAcYd2WeJbJVLJtHsQzK5iTfUp92oo
zlaz06p9KfyJRz11XzNbtHFlFRip5k3HiQ2vqofCtra2CcTC1J/hGtHZQIjqLbSdhTclyO11cdCH
0Dpn4sddaeaNKSHcz56XAJk89pOHMxMpBwdTGBIEKl9L4h8A6IGXnwDL8KFVEQ4nDAzD0AoThNdL
SB+x+aOVZ5jdlefWCN2xw7/6EgOxeGVHRcGzKMjQznSbOSgzjKsCOGCP08OS83MXmGMFaTjHZ0Jk
Bt5YYdu3o1AJxIMiVcY+Z9S+z2bdwY7viwhP48QIlnZYsxwWiyAF7QpnFpAWq0fmNVbs42zqgYOD
G+d3nS2rj8gRP8yLOx67dUyr07VbTUcMC6ibjxNHWNSobVGNfuT2Xhm5KHIxDxMdFeiac87tB6du
MWVUjBfLd/1UqX5JbG8BOBzifOFNaG2tsr91rPzVwyzYLTLLMUUS+Vj6L930grg2JG//pZ2dctsj
c6R72EhNBbPrIaS5udNEV+pN8OV1nPLbxYFnFfQVui0FKZe9NFReZVjfEBoN2U2dXV7sJguB5GXt
YQ6z2A0BGCALBOtwlhHJiYhzN5yvHLkgIinKYtxi2sPjaNB+iCI/O1P5hgQo5OySh2hPoXUs0Ze9
9L/7HMGp8+/t/n8WL69l8xf7HP7qt33u62bm4qiE6f9FUPxdocRwZWx+ro+t5gdSCOM1CbRJIKRf
hiR/O2yKIWsZwMvAPKYQ7jxK+b8hUGKf/a6sWEkhJOYJpvzgefHQO9dnW357kpeVtyhvztoL0c69
Kts7u/WOhdveqKmCNTy4iEcRGLXU3ckZAwULpTLQ8z7GLk49pIO6QiJ8xqg8zDC4Je4C06wKaDS6
nR+1C73pSI1JRSFey8DHSbWs6D7kjR1Vub5rAtjPqKVZRMvpbNWkjAojK/g5gxVbk5clQRfIVK+G
SdON9RUxxX0AiugcDIs5SdvuQBWgA+MZbjFbB1u3RQ/IhnKM/RyK2dKY+9wwIEBWAQMDoZAaGZuM
dTxtFQYdBG7xhnE4DxglYkXa9nalY91ZC3SLrG7Pyzo1YPH4J8RLJQrLHoOWyzE1zV7SE+XO6/+y
d147clvpFn6V8wI0GDbTLUOlTtU53BAtqcUcN/PTn4/y2JacBj7n1hjMAAOpVVVdJPcf1vrWmLx3
ht+78aGuoziYcMx47Tqw5llyJjfFnAf6KpuwWbJ3tK6Nx6L1y9BPJzwmE/xMPlA3RkfZOedFsREk
VKGyXg69dpqF82ZmFraGjA56MdXAtc3LLqadLRl+iBGiYz1rN7nVFfjAhpAZMV+JYWOcjGN5tDuh
egBC7vR4Ereuknye9epWVg58gIKSP9USbae3Nf2BPeJVsDjKmqjuwyLfWJY50L9OdS71NDkuQyo8
zJhB5lR3cy555KyDFrYGRCPWuDh6XFAz6MbbMG778T7uVcOPNPc5VuoM52ezb9XsJHP7Qbjru6bE
1b5ccq/nsZeNiRvUepJ7DYgRrxENTtNx87e2J0Pjs6xdu3cNVux5pFWUmgw/752o5YVZqDU5sk7R
fU7rCf/gqJy5wN/dmlEsW8LqlOTaS9eOVx2IlEBxBMyvyfiYp+FjBOK5k/3MqFU60cGezU8lt6hX
81b8HGHZDhsA7WQsL0pHPY1Z9tqs7sXaaghf6mRfT8pli4XJk8yF2FxGmlfn0eRB4b7us5XbZ3xI
4uhTm9jOoTLgxGRKeY9ymw5IH55bw2aV3scHx8RGsLDwr2FL7xxZHa3YfOwSNTmNfWWxJ17v+Ten
y5ZOCGxEXYd9bHX+N0TIiFtup7nblzcbi69akRVokXiWjEP8cR0GT0oGY1IfZtxSto1ZJMUfKQtg
lLOsX2I1ig9VknTnzDJd1AFtMFeLtnOG8snR14zdOEKbMdM8qdcgFo2mCqMiGyBE5Cl3ew/FMWUz
W2e0tswTjurqqMfWwZihRcWejb3A/2ssHo9F9v2QBWTWr17dVgfRt4dMsYKsXpkTZT1ywEJBEWSK
3ocgwmxPJHbgMjDtBfvnbXKqCPOcAVav5fiozdmF2Q2n2liuXdHdj/Y4IBsp9wk7Sa8qoxXyrnY9
zgN+UbNCVZycSzHc5vH05OSQbsv1RUaC8xaCnVfW2ROUpxPT3cMi5cPWoHvtUKmeCnjTc3HH5LIN
bbWrd+XCvFjv5quoM27ziqH4zMzX1puTzrTVW+TwVZjRWxprN6LOriF/nYGwU6ON8lMUmRiG8vWl
SKguROs4IZiTN2Zw6E4W9qC93jzUibiYlWZbKHPV4Jha8idjyMxDigfO2LskGIdJDaTITOvg3yP8
m2JP50j76yP8+r15/+MBvv3Mrwe4jihPQ55r2+TbbNLc3w5wcudw23JFaJzHOmEG3zUqDtJbFL3Q
trcznJ/6rVGho3D5E8PU0ROSjvBPTvCN3f3dYGA7wVH9YTrZqGpsUr4Nqb8bDHStLIXJXOIGTBiz
FBxFG0KDp6m5PGpZu48S57OAvcuef/ikDlyeW0ehzuJCmlERtLnyiFg3UM3lylwbKAJ9udOjoodX
nN5YabFbIucMrRQkojbokOXVfT67V5NhXtZlvYc5cxgyHf8gogHHApvQxZzqvTXdW2Y97HpD+1Cs
6oIyBH3IKOIrexMTKE0OlKg1w0XvTSyb6r400qO67f4b3XmyG+OMz+/GdAEPD101upfGWDzl1rKP
5pyWxXRviyy+j3GDVYzng8VEcBYXtRosvfiY6jjj+B4aQkB5ncUc96vSEaFAn6BYuP2UXN3Fs4bD
u5gSvM+p2vt63JwGNc5DHUkh8QG2G+RJ66eFuXPb4lPM6LRfeOvNKPdD26U5+rRsP6/2xtRnFzbl
h66qwjnuEXNJHoqi0I5s+C7QU6Yn1qqnCLQDRxf6rygHIABvxncn6x5kjLVbnI6nXzXyKdxO3DjQ
Uqpp4FBaXSZ60iyOuPGvrdzwjarqfdlHbzJ2HjLFMY+pYhzEEn1gSgJpCxsG3TrMWQgOnl5XKJqF
ONRJJOEWluoD6APpcegdsWzOgYibO00rDlQctg+DSPPjFVRRncroCKyAiAyVBWmTIfXD/ReuSbqE
LcQrlJj5Z/h8lT+2CO56ZdXv3FYDqmnmIXy8dK+oWhIovabuxgn6NM9hvbzKrYhjblDMQ7xVLJPi
5MfGISrChhU+0tx5lm5n+742i/bQybiG8j45ykmzki8UFKi8o9w9rQ1CQ63ojl0bP0Bn6Nhh6Qeh
NL2P3SOUyWCGI8oeZ6zqi8rpNrr51xqGryfW6UKdx5dG4gaHg/U06G2GrdY1/DFqCHRwVJQpFGHV
fFmWqvA7J7tde2f06zpmIWJeVavDLaE89ZOm+oL9a6Y3vOtY3NjQuAdH25lpVnlSsH9xc7nPbP2y
sDhpVLd/WxtQb2r+6M4ouEozOsZ6a+7BLpR+prVp2GW13KVJxXoipxdVINfH4C9d96oq3EOPH8ef
bOVLGqWPtbK0fqzECYQ69YuRNk8j/ENl0311BHG9j50ZKpryClkfkU3v0AcSG6Ihabu1cvHWN+OF
1Owv9iovcNper5q4gN2Ofr82b2ZKoauqK/cFpK6wsa0LcEI++xPVU/TkbqTi9AgDfdPth1wJxeJc
NGm6c9HEoXFIqVAY9KYjfUCfF7dOaiu+XnfwpwE+sxj3ca6fE/RnvmX0gTFFQZlmoaJYh1VONcce
ZAtqddfv0AQUiXsFz/xoj/kN3aw/CL51fZIXoz3H+7xc31xr7Hd92fmWg1q+Y76vZDHapPZymNaj
26SfdHPbBWlawDzf9Zo0u+8L85OLii4YZom6rLWfYqWvfK2MuInrZEa22odly7PQc9diBrgFLfD6
3xP324mrctj99YnrDX3/Z7NBfujXI5fGGCsMTF4VY5tuceT9ouoh6hVZDas8/vNN1/PrkYtEnnYZ
r6r7WyDRL0fuFklmcpUwVDSQLrjiHx253xxdvy27vh25WBcR6hJsSHTG9v6+b5rHZpZQFhPjRs7s
jdZ5PE6sFQMNrTzjlXZXG+zXun55hgFgBDIWn5F+X/ZUc4G5gdSyGQdH36G0AzvuVSroiEztPNAC
QzDL8XruLBkIt6t56AyfFrd6TdI4hO53l3PiVEt/Qt501zZ01VkLe8RtdImuW7+sSjiFsWI/ytyt
/QLvG4iz6JEopGcTfiMdDqJYay5vzNi40SYrdNv6ZLN4zc3VOK5j1PlDrjv+yJYH1nOoO81XLD53
wxSbpyqO9s3SfXLShcCilXiAEtULwgUPmVHuWahuA6OJfHVmumk3ydOkDW/5PAo/yZMDgQKV10ib
eV9idMgLud3SxrjOy/YEDwedc9d9bUc86rNS06MUDrd7xywgbm8yc2xOc9nDJUvps+2yzkGvcZ67
oDeupcWpT5MHPagV61dHH/PrUdif15RfLo705FaHeuYlsvvAGe9eZXVxNF2FsltvFtA/0rmR6VyG
tj3xrUFn8bq4j/28RJRLI5l4NEHWnhSkGHgF0DiBluNWjcH2r00WI9dBt11Wmy544umVlgbqwqVg
bWfMRaiAUNlnyUYv5tlqWDOsPBoLkHuRFgClZzwoZLqDQBPtxGQUYVf2OsefUYaVkV1iBbpY+wwF
t3bsl3gN0tL5isfb8jK7FKEiUyNYhiULtche9kTvFKGaEe7RCg0tQteyw89I8snmbti76ImZ5Xbg
iGE93jFCdPZDYyahoeHBVdUoCkYk+540DOW2wILslSuftJ0tLPaWau0cnpF+tkwkStSsShQIkiDh
8vQEnGnaY8x4WHR5Hga1ChPFWfAxNJ/qAmJBmlhQSwk5ODUuzU+sbdTtdfsVpTqrMgqVxwpcpic3
C8WymSn0OUa9sBksTIc5TrKZLlJ+757RKcPBmRh0JpNg7GTj08g3w4a6WTfGuFQOap/tBrMIo6ii
rwWc55Wb5QPnTOkxBkBfm2EI6TZriLWZRFbsGtk83FlTmePk35wkhV5cA9ztDzAZv/bV+qnXxmTX
NwS+FG7RXaXw9Xxjozt1rXW0lim6tBR73DtRJe503CypW/cKYuzN45J887ukOF8m3hUQHUApCbkk
0knavZIuD5oCLmImAstX8dBUm5lm2mw1Lv4ahseL14Bohi8bh+lmwlGEekgN43Gkofbx2j2UbXay
s+o82dJXFPtKmm+RrV8MtTW+MIj6mKz+chaK4lXMlgNnGqbLAbjqwXVZhqcUsvA91EudV0tQ/46j
+NrCIvW1tbhSJ1XzRtd+Wh3K+zRbHUbx5RdJqeOBnz3W2XILfP9yMBHX1lvKV1U69T5PNXibY0Jd
t9SAXAjLAg9fHivJisOWhrlbFr5CDSf7oMT3xRy9qfXw2ggeD9gjxsDOu4t00t7nHM6MzA1qQ1nH
O23QSJoyqGNFtynwNyaRhqVHjlcoLZ8Hi0GZrYgzQTAOriS7Ojqmyd/s1YzeuwB/1NcXQ6YewBZS
uIpol6l1e5O62Acy0LSeMrtBP3cfEsWzZ45pADnYesViV5ohlfRVpfefa2Efq8F8gVZI6V2icerW
TzCWIQnX84EPXewSnQKJsIqgsOzrJOMp49YKkwOSOVwC0lDLHZTWYiffBhkALYTR0y3yjstCl8zO
0uJTD57MroxrLW72imj3MQRhvlPKQY3/b74nTpr6Mh2+ytQ+gyTvUcUvx74USTjYha+I/Bbqq8JZ
gM7eWC6SvrgtXSXQ0uShAGOfWHiVBlRSQ5k+FGnvg9zsvCqSNpEY6yFytMt040khbJGu7jNX/oiG
isrScJRlLx1dOkwiMUbEVnWnpmiV/q2NvtVG2t8uTg8QjWDS9X+cSGw/92t5ZJBSQadPTNI3K+D3
EwkCLKiCWI+qBnKETejzi4NwsywjUduiW5k5fDMm/6c8onJSVQ3X4favqvydfxTKaP5uHkFKBDIg
RNRYptl4bEOR74ujfuCqBt49nQf1FMOGW+5quf+uYPwzOdO2hvlu6MGnYHJio9Fn1s/Sl8/744to
SmdkWS6bszG5mSo9YUpKkMTQK3Q0KmPfoK2tOb9d69RyrmGQ2S9dbOv5rcOcw0/UctaJ52uQxtXH
NgFVGhXAYtJwTbXFG1bDX5biHIFuL2oFxLzL7Vrf9yrjkSUhEai17+ZUHvD8El1YQkJOey0wRXsC
aXpDS/upWPJ3hQN1aJojD5aXhRrCX9MELqIMHb2AXgOIVpu7r92wWezSCckxZru0BTqslFrhgcI9
tCNgQNR5j8yRW0NyG1YvsaUeQdASRaY1J3a0HwVBFLg+hNcs5UfUsENxyoa9iDpTBshuhwUbRZ49
BU7VUZ5OeHwaW/00y+pkCKUMNFE9jFp8AkX/2M0JMUNp/5yXi8T+NH0mgOi0iK7atVlzVSXzFLit
bRA2GZl+VHf3xIojxRNsDlAxX+GrA+UhjdticmMf6fCLkhmEJsLmNXUMf47ef2UgypMl1WvPbutz
VYsLe+pE2AiwX0XeEpZF6oTXoCSElTRUYdroaFxHLDqiWZ81WIHGZrLCN3pn4h1hfVw8TCUmHdfJ
X4GXwVebmiOM5ey6oEf3EyU/SSVl/aO1wtOc+DLuPxtZvXOJ7kzLSffF3ErfLarnaKVYjVoGB3UM
mMoZuqAfCe2yzc9NSjU4LaC8bPHZQSoWOFn61SnhT8YCNGTbuw9xa30V6eRv5rq0NSdfk9kh0Vmd
aLPj13F5HnX5Scsy9OuiJ28zr45FChpd0MASOURzaxBrKWQ/hQIono/Z5zy4yiM6cE72oj8mRtKF
uCzvsdkQqwSOzicxC2MXD+AxtsO15vtznexeN0aGbdjaZ3d8zlVK43SxvuLceTM15hLJpBvsDRiN
4cDJryqIkX6cpY3Pc+UxhmNcCbNhg2LcxORdBUmNfl+bgUjCDvOaqR1CMH2TZ9vrKwOdB2vkfB2z
6kPQU+zGTn3M4+JRppVOMb/58eP+qrSVr73ivFIYCrwAiW8bmmTnEEEEpiiyaj3sjYVhEPLzIpxE
10YEKY2+i+CgfTDjiRAw5hZe4xb5Yw4F42iuc3a2jOmhbfWDsjYfJRuUNG9wLtTNF61vYYjZ9E1D
76S7fOovhi5F/yZ6TuUIxKf1VLnhvF+SJbssNw2Gotx1Q+biS82KlqO/JJdgnJwLxcY3RwoCEJcC
j9DK9RsbmORq40pIE0dnhyKA2gtiGoq5pLmWtf1CJthHqmJgpLEkGW/VdmXR0FghzXPE++YVQPR6
Ks3hNR4whvHMuesqLWQ/eldrxnFCs0yNhDokftJz61UyI6s19cKd4m3PdYZWf7XKfrcOJAW6y5dh
BPGf2FmQyz4POfr9nMWrLTs2LI6565rx2t6wiG1eeMa6BklqTl7tsgPLHAXjq3Kz9N1Tmbo5EXby
Q7L80dv5WZEf5sCVOFr2zhD0HH5UTThqMbemlZ8Ni6KE6rjYTzbS+33bdrqfxTN5tU7TN9e5YbyU
tVDuMVCgjK5IRigynluAQ0WDXYSmc98vdec7BdWgY5RPeIR3bHpfpql4kq3yqpZsWtTBXM8ceO2u
K9r3VteOSWd8mSPnpl1ZAZEQuVWdOABzwgawYmElzYp0VwLWehCls1zFZXKfxvGnTEcuMoHCvejW
xQ6bEp10VKmLz4jstdL5FqfkIU3rDJc2ZvdRvgygvO8dxSh3EXgqVo4t+rqUswc+PM8AhDZ4xIYG
4FnvKA9A8TCbLFiZ447NE3e5fI5cOQSit8sDd7MTtEUfCGscD4i0p32k0+MbZb3sp0rFGAhPlr1b
nnKzp+ZhIt/3IPMRln1/J0WCeFrbZ6MYvVqJWHsaLM8t7aEx65dOm+9js7OOrhheapc+VGDr/Hlg
9ZcBLptK+Lexx7dD13EFOybLwc1kqr872a1iYDSvt8O5dqbQ0m5IWrR41ya1biae//6I/7GK2F5L
Q9+lwewE2exq9u+UvVJiSmbKN53xwUb5U7vsEuXp//cS21v4bnEyFRhjp6GYzg03Jvt3oJdvorn/
P7wIcTew/tkSoZj88UVkQj5yVk3T2ege2vpyVtgKHv/+Jf74tfCr+u4lfjeN6ge4/5qYp7Nw7st2
t5Y9UMqbyn7Plv/ySr/ToP78pXz3Sts7+e43ViSjWVo9H6bFlKlVlp/op6G8msZwLE9r+R9V0V9e
b9sb//F603DoQcpgDGi4CP5+fLk+zua1gxZMg/OiEc1oWw9xcrGUL99+f/+KlzZN5V/PYYnKex8/
unf5x2Zj+8Ffmw2aA1SYaI34GvgfKvFfZ7HqT65rIlFyMUxq5iaR/E2nyeOBSSxxVKRp/bD+tH9y
trEpPQjoiY2D9I9msdBNvr9ImMU6bFhdxk+wlXTXtbdO4btrsoodhlajU9+o7CgPDTNK1iYba2Oi
VBsXeDy6vJwH7C6GynHjzsO5yiCYGFX5qYMvEUhFHpAImKFrdIsfTxbUScHej0Eg6ZXKpMPT5Ii0
W2sFkTmX5zZ2nxOwsP7YGYY/q+sFmSiXnSkOTo1DyVSSfbs0z5ET1yAknKu1W1D41fl4GIr+FJcZ
HkZhnlYH6Xss7CtLFxBWmgEMsQNT1c6DCqdbr3bv3BoV0RPx01iajTcRUUYoDxVnPq5XVmU/zxHZ
LbgyXtyifrbm8cLNtcvJLh4Us7zqHYwtxHQ8Vh0uIkUjbimatgTOuwqcLtDkVz2d/biNd2i0bMSs
zSWZtS9su69xX2deYs77cUY/wUUBnATlQzVj6lTsPkyhqFMPAps2utkij6hdQsephnAcNyxMBgpt
msmKiQ3WjrhcEN1cTwUqjRij157TbJdZLVqiEWporlW+oq9nI7I+633zkA/LbnIY6hhxdZ4Fi1Hc
U6kOpTmy5dka7MekjWLaheXFStGVppPZBGwMcIJX2MuNdJFBpduM19fbbq5s+L7FadaKj2QFtOL0
+qOVdBpRJXoEMMa9yUZbvy4i+4AN8L69FgnbSSROlH3WwjGvo/BJbbaytCdh2q8ZVWo/7rvBeUks
JqtDS5Fb1OkeUXDl5WX9ObetOsh6pJkECuwKh9ANleF9vxxSukDUsdmnrjM+aGxZU6vxIW7FdUxg
yTy2dJfqCCRnKcSTYRItSuAdRdzm+6paakXrWJjalTkku86JUf8QEBUuM+WWHrMYd76JSCtz6MNp
VG7TZvrirvnUcUBD3KIp3q+tYPOLuEoore63yK1ca5PwYNmDDmA7AX7qg74ptOpufie6CFo0JbAs
QxW/BvJcJlUIu2oD1kqyab0YM7ewvOM5zO0BehjxHIwNUYf1BbsJwyzuXEC7FuSMjStxrFzrMhql
5pWbyqyIM+4Lm2h7h6p3Z2xqNEik6o745sJXyUC5WBCtRYjXjE3F1iNnczZd2xa3d2wknyXhMPKV
FVGSQEYFUfKmrrlTsk0jRyF+jhDNJaWqBs2mo7MQ1BWV9dYjsJP1bSoE2He0d45TRsfZqq9n1ACk
L08nV6+/CLmhQFDulaJsQjsH5KLMSh40m8BvMjdZY2vGQbIqe/RX2fqmb4rA7jLLjhKVYEpAst9G
XAZjGb0vm5RQX9qraBMXVqgMZxC1ADEU5uLJkxLnH/nALQMeh2sbjaJ0UZBvokXXIEmQMIMHgu2+
upuyMZ657oxN7FgDMhDU1qgpUFKNcVtdKvpsXmnIJEk4bq9Ji1C2KDdo1O4aBfOmqxwiFq+YMbcu
cMRZmztoAJknFG56n3RczaaItSNE3wQiMd848VGEMC7rbR01FpQSgzl9Oa6Q5JU7o+1wjPNKXrK2
NJObLhQIWbRjo50FdduLQ8L3talIc9hOyKzb23LjPiM0VSP1Idp0TJo+nuBE6CF9yZyyf2bPfNMg
znjJXVhEoYVNPPPlsKVcjFDL+hGiMhK9qIJhl0IKcuNE/Mtd+Dm3RaWQ/puaoGaf8Cd6qO2nfi0I
NBAJUBiAmP0HN/ZbQQA9YZsw2swQxc9SqV8KApe5JJG7OAMp5LYB5Pd6qM1mAb7hZ6UUA8N/oIfS
N2XVd1Xjt+Wsqjnb8JO34KCt/rEggOMSE/0ViZt8bWwC7626ND6NidFHN8RKGWXJslXRYfNuc/Ih
uV9ELLzcEg3HBnob4AMpfPc2Dwe3x4NtlupBnXL2JrPBdnSs37VljeEApO/woWYsosTAdtK6KMqY
VK8oO2ctWUpxRBVeSuGNDnlOzrKys3HZ6uLZiLDE5iPck3IMkw4CUWIxm6ho/TQ7fR416zY1yH4o
UDRA6KnGlakg9pNRLXFoZ/Xtio6xtuojD0CA8EVNxgz0F98lYYptzvruZt2tZZHVPrBJQsCon3W1
L64GsdY7QtyqAHVXTX5i+xX7+PuQYREpFZgAyweHtomSCgexYsRBQaTBrIvnpoqRulJNHIQkNZPK
CiFXoyWeUVNokR/R+do4XxgrIg69Wz8GJ9oN9XihudNeQxwlG6zGhgw7xils19AK4X/wu9H46Fkt
5BN6TVf12JSTfEMkDRIwbDMRtEOyt/GsPsCiqGA4NoeSxcVcZw8Fi4y+r26bTr1IWHCQGkX2mFne
jnylw7YDUee0q/a9ojk7x2pOmll+qmSC7NmOLtmxXZIEWPmC/aJ1oljtbrWZ/esbRtVYD6VRx9Ut
Tvel2ZcaO49YzdUX6I1u7Vlj/hkQB8u6boJsMXx2ZbJDNhjDY+eP02H64EiUOH1nyHIEpvRLci2q
yAmpHJdd2ydfJ4VFS+Ysr5bqPvTrfKuN2pvRNSeSa17TMXN9y5RGaMfiS6rPp0mNl7ciaXMPdhYJ
rWQIOGM3eqaKhtbsbolJO9ido1ySW/qwpHws5r0I4mPnJpoB5+P1QJNqBkNCPgN0PjfsMZQfVvur
ltWC0L/+aexJfCPFRg8KEgjz2DX2ppISKEo0a6MB1ypBASl18jkm9h2cxLLunAmVfrZAN1LkazrV
h5rbxq8ctGYkMDJflitSZfxDGulm8yQiVG/KGdXUS9erJ6shxSHTs0czSmLyG3UbqTpCYQJhySs7
FHZuIwEHaM/Tn/E6/IAWBENi5V9lQgRLKd5HycK1QKScL9k10u2LxmDWSTl3wXQKbIHB+DND4dsl
4AOyfpz27UzMGdh9DaZB8Y6T8hWuVFgW5lGV8auRG839qpA4r2w0JZwAj7aS3M/4DlR3emkTkR6b
xD2uMxEusdNcRLV8sdjtEp58rxBEkxjOjeLK20S1PhqxXpfllijCtblaC1nwWjUEJMnejSO7UcL3
0BLuuyxxQ5SUFcPt2XqTozwmejbcRQ7MeqAXO/QHFxZxDOG/7e7PsiPmB399tAUfxf9c192fSo/4
wV9PN+MnkJg0rttMBSs7B9+v7a5ARQR5GaHAfwyGv7S7Wzi8CgZEJc5MfItA+/V0E9pPhoO/Bmmu
BZoHsfs/Od1+nIqZwNI1+m0X9jBQXwFi/sezrY+GTBZrpbM2mQ9qnoL0Id1kXH6+RP5y8PJ7ptC3
8ZtLj+7S25P7TTbwjy9EInCO8CKfzqbJHQyczRGhuQ6nMiWhr9ZjQHvoEAPioG7cZbhs8+bR1jvy
MrFV+BO5umHeafkFGkQ3AKxLOPaCkFcxWaBFU/cyyabxSyfhIb8phhJZ3De8oK83xRn8PLeETVga
fB1yZ8iRJIyj3NQozkVbzj4LPxSGRDYGwAhQ2eTVLrLGnS7MPhjYFgQSxlBji2fFsUkgGVyPj/lC
GEyN/d+8p56+U8r5WlFI1khhOagTG3jy5I+dO15PURmHpas9cpsXSKDHMdC3h8gw9rcEVe4mMTy7
Tvehx/ZbXC6v3dZV5oPNCbWkZ7OLLohYSXfYVA+WG3V7mXR8Q133WFvxIXUQuRZJcoFC7ROZb/lu
LNUmsEbsjEU9N4EybLIX6vqd1q9vGhwRfxXZjXC6nbPAvCTiK2it/G2wtUfEsVf1XA4eBKI7ux32
JthCGkkFbRXpwZMwIPgQAM6QzrxXlqZAGosr33bf3J6GzpgD6KGtJweRe1wQZAIZaK8lKUj28NVZ
aK1Vy7xSRrgA2K6otSk0NHu51iciTBcqmwkM6S7XijOJodnOMHDCl+KK4JKYFDexd0d+t8mEEl2x
zJGUOvetQj2FCO4OzucSGKt8IlZp9WPSIz2jL+7lNBw1Mx8h76if1QLiQDwtT0WamvvZWG/0GU+M
TLKRoMvui1boX3RCqPx81g51gUAUNzHVxLRHA3dbIoWd7dq6tA2gI1ZRfV6z5iWxZeKXVv3AOZ4F
orXzwzSQt2RPvm5EOyQu5FhyieHTEcjCNUS67xWZVd1udRRSr0wLaJWmzoR+eYvekZwqJgiMqj3t
NGfa9CzdfALGhUlkgbEZ0UYJ4wvi52Nqartxpav2UJCPT7lpbKobFMSrZ6bb8TxrKQlsMIBoCzUE
bP02M3Dad6rROy1XPhjM517LCVNzNaKzGh/mWPaYgqYA4TnkkdJEMTaNl05HcbftKsw0R+ICtGWj
Zk+vVmZLtOnNVZyqEWkEMxXwFhwrLwFgBmMvD9PUv5CLTsfnZv6YqeTr1ui1uWWNKgcYY14UinJc
CwRyMF2TcJ0XpIzk2ljTUnrZlBnePGh3JDmzGus/cupUfx5QHVnNy9SFOPeOieiI9AVGYdnvc6a+
reaS+3ZBjOtSvBXifpwk+q/h1NTQDBXqJNbJOhQV5H2C6EDy2ydDHEaWl1BsqbfWZtwbNrgNVWP9
H4/irRKIjud6CiKlQ+09NftBq26WenrtatTJ6SKe+l51rhqF5PAH8u792BFddKi/rR2/O2DOP0+q
v6eu/M5cuT1FOS4EhRyzUTqm30shpJSGIJ5nOU+Lb3tiH53m+/rqmJGM9l49N2F+ZP/kRRfUUkOQ
7Y3/Mq7/4/ycl3dtzh3koCbapx8f4jC+zFGxhvU82u9NdHTV3nPnN6Uuvb//nH/2OvpmgdmSFgTN
3Y+v4/acWSkBvmctvUxm2BPFhxsfAaH/l9f58fT7+dfJ75MzUIMfyJbzx9dpGViZgwZywjIvOgtj
NyOM/7Z3Ej8aYv/zIt99mN+9yJCoqtSxfJ/HnXzCDhiOB/WLEzj4La9KrjHvrgvRsO70w+O1ExTe
9XiV7p5kGIW32WnyDl3QXfYBfzGod/w3fPr737X+x22PrgsdbIUB8I/p++/eXzGsK02Jqp0R+l5H
t6A/rrTn+KQzB/OHYPFOr9p+9q/b3XQwTb+8oE27RQG5w6bvf3sr/+5Ntgv4rwvJsPifoO4wfv/J
3oQf/KWQ1NyfNlK7CpGdkxMd1HeFpPaTxlcIqEK38F1ve63fxiTUkILKUye4m0KTP/pFw+78xPNE
QObGysvI/Z/tTfCfc7P8tlzb9ib8OzyZVIGTlkCK311HbRyBMNRGjN+ifpo25+eIBVSh9PXsTHZn
Zd38oRyWL6bAVuPix/F6my2pU6Ihl8pYndYY7Xm+8owGjf3MgNQOOjpbv9F0GLQCuXa5hdlTFCEK
EkONb8gFUbQ5WjOsrcPmcTVmJ6EhtB9dxBucKtXOWrE021hjuVfjQ4dZtk/n52iiORuz5h53BpZj
JXUP/8veeWxXbmTb9lfeD0ADLmC6xxt6m2QHg2SS8N4EAl//ZvDelHRVpYb66lTVKIkpZfIQ2Hvt
teayzPiDeqyH2THPeJGvapPcBsqBRdA7s3aQCslqEdUtqEdUOrtLlOqMtv4SDfZp8Jr+nBDzNSEl
73DuYL6R2De8Wbx7XU4Fhc4Hd7NQcG3nT6/2Pv0gzDZYlEHCEysOZ+cHDTzViUrQeuUQPban5DbR
WWT+NT/CCuy2wM3qTP7aSKiFeppZmLc8R/e5BTVCgIjAcQodDmdmhA68iPLTK6ztrHESddHsXQAT
fifvpJfHB1OzJ8pJACSX2Dey1PC2ozFf+4l0VinQihR4xaQpFuQUyZBZAcBfzbjIgF3AcTw63vBa
agpG68DDGAFjLJqQEZjqKSgwRN/MPQUXDZVx+Gl5JYYXidF8AWwUxFOnbNtno4sehU8DTPC8L1Ou
V21KcU/TquTWye1HvKXkhBXCkx0kqyXOnZfF9HWtUxiOD6NXxFeoNs1pwdRBIbqRH3AubGVm3lmo
9gwZAVcIzjer3Eyf9FkHm/QYrBwwcBsnpse08Zp5I2r6lg2jvgGOF608IleEIh98g4S+zEjXjyxG
hXdyx4o/YgUXPZufG5H+9J3yIjIyAsJW2xI2INnjG+ObC8EPqcB5ocrylfEahErs71Xo1hAKsoNt
chTy634DexRsJMW3rY5/wZ2cM5+Ef37hRf6lNRpsK0rdAwb7MnVl5jQG3soTCsdxHgPzN7IPyzN+
QHHlnjXfFclwoSbjgVvh68DrkiUhXLWjcW7n7sp0ose5ys5K0pzQRvZTXKL6JF30EM3+ecj4E2rs
2N05DXNrHoRXle2+RL585Ei7rIqYLr7ZYKT2U/O9d8M72WVXcdMR6tRsBH+6lpZ75yh+L2WU3na9
daTqZg3V7RRDJRg9eW4M8R6r4UmvK3ElSFOI6yRdDk5HnS/MpFXeqx9iDII9ndglSTB0PB5z4GJa
gzSKtnxHM7TAKe1+dH15csLpMnfsY2IuT2NFPGGiQhtWmTw2nUjXfGAJahjFHWmG98YpsT7nBZ0J
HlzaIcPeRlHsNhrqfmsnpGcwjB0Wl7NiRuX2sfKb9dyTW7cxpOknLk8pi9YAd7qpRzYQux3M3Uid
aWyS2LeQzUz+CHgm3TrKu8zG8EN4aJmN7z3annvpuC1A/xH3/aSaBB8gj7gOHP8Um/d2WFHol3DY
00nbnuhMaIniUHINs4qB6ybZQ4ox5+dxie8t0333S5RLwJ2XWPGifRwbxo79/c7yCcC0MVFLZfvv
Nn2aW6sqQNt4zVY5xrIqU9vVGuEux+HdDUt0n7X0+qWd9VClE9lUhOKPJjGuvHqatjS7wM9Jn2Uy
gRxPDqUIvhZG4O3AwZfohEmUpQWenfYCvC57c/lckhGKLxc7hhHvTfUWT/FZBN1DqIPonY6kL0v9
Wi9pyKF1cojxLT+iiUi6P/U0nhvtehm7GzctrhKy7g6Z95nsu6VD8E7VnYrFpjfBpRt2ELdk3i8x
MfYrT0foM7L0AZl6EwcvYRti9kJynubY9+CQwE8j81SQyM90ND/3Ah0bWH6EOrXfqqdSyNtGZjd8
HvhDIN9fkvNfBCemQYdwJrOisJEz8xzS8wgdwPL6kwktwDXnx8qGMeyKGw+aQBO61Srgf8waNOAX
HmuZhg+EHkVBqQYSVCbQAp6xG5k2hwpmQafhBT4UgzjzIBFpsIHQiAM4B8AOmuy4aPyBkctj9Q1E
0GgEglr2kXhFugk1OKHWCIXcBG5JdY+lIZRIx2iY/05l3/KeDrb//VR2/1b9v036Gf+XqUx/4e9T
mfebGVhIdYxf3y74P6YyUOKC2xR8TBF+T2x/TGVogvztnLug8nCAJj74+1Rm/yYY05iKTPYRjPf/
yM2ClPiXqYxpEf0pcBxGMlxv+u72ZzdLmmUJd4rBuSR/SNiV+NEQE87wRK6lN9nwnJ0WH/3fNRub
qmsuJvdjHVGgUcUXkCJ8MPbV2hlIBpvta+YXlnUjrZ4dPuN5htozVeF1WQ/LKXbGIj22g7IfsOsY
4mj1ZmfwqjaG6zJyIg62HogWkn2ZdZ/6YeGel3gpeiab2JOXncOj+5YM1X7yquIzAr61qauUcoLR
DcZsb2YEocM2SKe7oVXD0SXawoyzJKQKI1ONr4sLeRtXTWKe7TGMzl3bcvuoUMW2yRy2667thu1o
qvQsBuVeRBHhSDDgUfg29lUScnyP5LKHrrSs8yoZb1C53oB/vlJO/JGRRdyi1JbrxhOfzcBgBb2a
C3nZuj+x3RJsoYq5jflhXUyxG3JjfJUe5MzJNsnV4BC1iNCDLh140jxbmMc3IXeqjzmlN7t3Kt5k
+KYvDMKPh9zq/Cvkt/m4NE27B8VQc9viHF/m1ax9sIhJHTTokK4EvrmofUOw7mUfbYKhPAcjOU0R
df6lEmI55i4OG4jpVM2Gyd7XBLku1qUcKsjWdc/j1Wf0aILwM3ATYx9My4Gg3rWTpd5eRZLBqNc7
aoQJvnfnH27ighaGpoR1Tuxriwf4iD47cL3CmzsPa5ii6KkFpLiOfsNtBr/2GgJCfm9I4dxBZ68+
M9PtTmWbVs84T7s1hNqfFfPg/wAl/90lTfaqv39q7UiSVf/lkaW/6vdHFmBD+ggCrgh/rTiALRZy
YWJX/JXb+X2R5GEWCE7qYKk1meTPBDFBDSHOO1/4Ni5bfeL4B/d2ICh/eWQhKwMIIlrk0w9Mvvov
ruC85BM4D5F/xb3xFA/tVF0O0lbeOiunpqnh0o7Lnhaffl0mZTw/URgNsbAOK900kiUvs9Pfl0mr
NkkPoFcO476V8Qb1ED3VBB9fW4WHUz17J5uQMl6IdKsMkgPVIq6Ig9N0VBgvIJPvCD8/y7G28tuB
9PE9wdRDKGe4YxEZOOaP2EyNK0q7ArmiR4SgrRG/KIpEbiKYBd5NUtCYJKoAidjlJg3SAbtevRFR
aVYPnm/Qssp0Jbc9/QTDdWv0CfAI1ocJZpZ8zu0wIeqd14c0yTLF4tBdysw9yVHcidilecmvnsyl
eBhd8ot10nzY2v/nJeN7SWnMuoN17VrOe1Jly6ozXOpvbCx989OIU3/tsMYak7ExSgaXWNve3KYB
Z6AkZpzKd3UmRPcTBajbOUYkcZ8HkqKWhnO+kf6k6uKhHN1P0wXN3pf8oYhguPUdYCYxtrOD5Ndf
gT/JX5UTM93L9GAuKMutPhCURfDQFpa9q6uccmuH4Mqc2YcE5mM1Td2mlCmJHLzookx8Iqb+Ahcr
r7Y2xUOMO+rkNPZtZI/lenESTIGufahz5HE7oJcgVLN9VJPFaWM0f5qUOgVjTwNwJCIsZf2+rMK3
OKnPXuifewenQRqQY3WW8J5aF8IhSb+bI+OnCJddYc5HwJJXcUfilyT7pukW71BW0C/6qPkaavRk
L6WsajTKD5mEQIRV9YOP9MBJePIPnhYs+Hjd4mkbVgDlrwaRGWy70U0RcvyJoWDRU3UXNXTJj+wB
MHQ66pXE1K/5vG0SbPiAcGjSiofTwHdw6McdRTdUGgmcpJ7Z1tulco/lpK7nVjxb/XAF3eYhG+p8
nZr9UxkndwkNapjVxr0Ve8aRUdNZTUl3p/zogSju7dIS95AW7yOaKONVmEKUtrroZoyWgyoi4+jM
xkfXGsnGdJt8rwSj9WKFBS5YKsJi0e9pKXGJfKnlVDf+daZqtasDokrNWDlrsPUD0XF5gSvzJ62Z
p5QyY8wt6aWXNVSfgUynZ9Lam2FRQA1twV66pJes7A2mjdypcLiGXfNjMhJzzY/6tMpUiUl8dL5K
xSswb+q7cWnWw+hj86AH0/dnQPYVHPchnx5tuVQHw+XTSauBXPVF+gkyZmGk938IKe5tLi/HqSYd
UXT2EXHL2Th0EyQTUX7P5bRllq67k212ncYewZn8riymqzjhsy0THyZhRjtgGd5Q9t7uvAIVRDaS
e1o3674t7wFG0oRN0vyKbPfVdIoP0xHHVjpsJzGMosiwP93eeOphdK/Lsnwq5WBv7XC8V4oChdQr
X2rlnoVRgxvSNggaTn139m6dLGh8/DbkTFTSvjuSeJktAHFq5N8o2kvPmIftkqMJTct759gvLVPq
ITRxUzShf7OMEySbIcGe2RHFx6dNuxmVCFDD+qPpD/dJNZCoa8zioMya+KJPUTyQhdfGc++HknFD
JgFu0TGSm472EZjZTQVEzryacIxuuUV9TosKN5VgH87saTPRVHbI84rYj+GSJxtbzCwmOhOJ+w8O
giXBNiisZiTFVTqLdDX17cyh1k42jt3eyYq1SwX4hK1l2uYpkCGHBNYQE45JBSV0Kksa8mDyqMro
tazAeZcGAxvzd7yaHT6tTZd9eH6FdhRly1ZUdCi4jjp4Vdce68bd5ZiKN4nvFbsgQK7iebjsq6x9
7Ug6VYSxYhnta4SG28RIaYirU1plemmuOHyGu9moMPLAvLz1KpsWs9Y6trFzkREV2w1lFuxR92A5
Qv9YR5NSp2QcdS8ANYFkEk92QwujwAOKdSOuDklVLY+LLPneSGXsBJ7vlYEksYqB+oPSmo5OiZXJ
sgKcM2I6x0V4isLlbKRLuQksVJkox6dc6gneJ2jkexfQl7jLjTisUS1umjF5qGzOpWSbil3jsD2O
idGtM2f48Fp6EeDAB/s5YKxTFqsC6D6o4EVyM6S4BKLF3OR1Ou2bZjnjgLsA/rjBxXMzdfhKnKw1
MYMhEqZ+dxWK7CPAFF/0EWOiHyKueYaAnCkg7QVqG3kxxzLCbyvTlE/WmL/VuXFTdOl9DpgJnr7p
bbPOohPLbT4LDEYx+CTwXy72uNTll4T1sJGF+dKkaEbTSBlBOGLYtsxpI9suotsih9WE3S6bs/ip
TQqAjdGLhwS0svnR9YvyCzjGi3DorkuGq+b7hjuUH5Gww60VclANy+KJNAwOhZQLrW0Yt4vZmBvC
VNSUiQj8SX4uOiYRl3eqMCYeYJb1OQc9WfjoIqClbw+j/4QvLNRctBVF28+l6q7o6cQGr0qm8cxd
8w09tb11FkX502iCLzkjennovlVrHKI++8SysOvHetj3frPtG/4qTWNPZmZeLPG5hIPfjTSY9flb
OGbvSc/Dl4JPKAL+EbyJ/tQEMenE7gQNCb0p59tToi9mCNbzwuc5JTW240j06ZgACjFv3KdZzN/M
A3wqye13VJC6sH5JBkDhYnJ7ZQI7pjMNzkw6XNq90yLqcj028N3aYBWF8tly+MWbuV7JKDvnaO17
pxw+XJIOsR/hKcNLbPolfurqyXJ44bEE7kVilVQrOVfcwx87Sale08MiNpr2pknDC4qc8X7g8x8N
zHJ+JghAu+UeRgJqmp1tPUuWKzQR7McQo3eAXVCsF2wJxDDuy6nltxZUOCSZO2k+SrdG5ejpoTv6
TnKSKvtKLJHuYhlcKyvb18u+D8GtBvtOVRtrvqB14yEpJowqrluuUQT2WTaBWPUZZJzl3QnkzpPx
e+ClF649YnCLzIRvVvsG+orYrC1pxmvMqTvz4/MQK44B7IJPVkO9o0fEuqd99eDExcGGJjMN+SYK
nOa28roSFmeVehjAXWEZzwn1LFQk2VXfnXAqSJohUzkF064uJkPdKr47lSlSY+NG3LzjxZdUK4X5
qQaEuppzQp0oZfsljJEha2Nn+Bk+1dyQu9StN26Zj5toqn/Aa1i2VTC1qJaxtaXZ69Hpqnvpetgv
HXgeWffsprRvlwxeRpQOu1CEx8R332jfvpnTEHudjykzSQGRMXdRO5vTkyLkZK0M5FxeJ4RYc5MX
G3ulx/dPf++YzccQf2SYXLQdNO+icTfz4F9NQ3odjv4FGka4qvrszQoVTXruhbUoppu6eefdAkOI
Xsq8CsgJp+5pGM1Pav6q/ZKZJEqm4OBO4w2ZG6rEE4yIrBIr5hq5gR/3s5PlwaErm2RDveza3rtw
2+LOzqct3V7TWpS1PPDcvQgl5g5FEBMnYX8gIgtt1OYfCM12zardr3qKELuedDQkn31jM+2GVv6a
t+naTa7zJucJoFZydo6ig1sTBtOV0VcthxU0EpH9hIbEtm0RMlLUCMTmFc0bu6Karlz72uPAYCzt
puuM+DSZ9XMu4+OQpC+DPzw2YY25YTG3QbefPf8eL8eaufdKtfZr2lAL3lOz45TxkZjqcqRNEXBc
9phoQdJnFtwmQ5OeeSq8umU9PZcL/V11m51nalE3/ZTVa1UuxPLoWCUy+qOZTNwW+a2U1VveBASX
euQJFb4Uor5IneS5lFxu/pUhv2VIfSj9+4X+8u0nkbr/vAzrr/p9oQ/BftsOdiRb4M5AMvzDYmhS
ioB1HkaH87/gs1+XYf835Eea7REbA66Jmkn26zLs/YbHA2s9pDTHogDwHxnoXU97+/7vZRjUI/Ej
PCOkVoO/0s3ANqreHqz4OgrLna/fegO4M/CN3RUureeGF2MzD+Fm4VXp63dmVcaUFo0HHDCfrn6r
ylDQCSP7de0X57lmlFjCDHrEZG4sXsq6qWY16Pd0wAubyyZApDQMt27afFhjk22GYLwaQHVO1vSC
Dx6rcr4Veg5I4+TVC4uNQW3aU4ddn0xbfo5LGa39CJMZ/9r1bmS0qPWMEVv2C4sa1jU9f/Ac7De4
r90dasUXTqNPpxD85Ou5JaD9eE2/3H2dJ7fMdW8LIw58RYZfPfXUgi67nEFI6Ilo5MnDYM4Zuvfr
94CxKWF8KnGHrjqAmZtRz1Z9Y92QY9pkBS49hq9MT2FZh8+uZzATWXZjVs68ovN5wDvO9FboOY4U
wsQ0LT8YI3q6IMYUzllQ7JZEqE1hZg8TIyFvc97i5oCaSwroAvbFfc8AWZYWgG/Z7bKCpcxgyEwY
NpNhPjc1+5gvEzApDKSxRTQrrplRPT2t1qPgtZL2wQZdZnlEwQAMVYuR242frWM98wa2l+24wfyk
9F2dYhhtvOJMyrf1tOxA59zSHnzh6UHapRdYkTC6VXrKJiMW7lRsMnkXZQiMiOml0nN57RlEzMjb
pz71Xe2rMhve3zGArqJJqOWLfd4TDPq+nvhdxnBm/4gNogUVofcCGsE+hjBhEdE7Q6G3h0LvEZi8
XwsWCw/K2SUoCF47eutAatlleg8xWUjSyIKWpHcUm2WFyrtk49vTvMn0JhOMvrgy9XbTAXxcx+Py
QYWDw2SDjXTU21Cm96JRb0ip3pUWFVxiTkW3mL1PKAsgFkLrqpLQ7ZyBjzJtdvMmnsDoNjGNnJbh
3dO8+zrpHS3l9kywwi8OQz8DpIglPk12uojlztdbniwjKOBxRX293gFblsFIb4WtW7gHHH8vYWa/
0/O29/UGac/9pVEa7B5GAHGCNXNh3eSUjflM+i3n6j70bk21DO5Jx7j0lioQhOZOkbaULNvJ8xzz
M2/nAfDAcTSZluadcgbnxpflCxXmPWMOnLao59rZCvU0x1p/w9G7nVOCZpIJrK4xSuZ5/RzUo9zL
wgEYDvkv6mj6oP/ZQ+hnTIETnnFzqx6WOrpGsLkY57DfgAj8Sof23nbICtrBeQqQPIbszNlgb1MZ
mBjJpZkRK6gV4D23GFFTOvfOBHSGDNJOu3a2zoGDrkQN3hE8ir2ldfQFFs2hl+7ZNMwvb/B3fQ7c
pkY1q2mfPsFRfbOpEFm1liYRz0RtCGp6p3QZdsEcz6iHmT8Mz1XcTjXJD+z9MGW6+t7B4fZEiZ+k
k9FmVvDMfupA2gXiNc5rcRr6pohvuMfHwXFoDfc1iklCXmYYM/dlmGNWDqNni07GrZhhLloR8L6I
z8vBJSuML2JBtuFztxUNaUY+hS+jOx6WvLR1RumQeCDxfO22kGmMIFBHt8GyXM8VcR6i+At16uVN
4cX542jxhCublMdTXtjbMc6+4s6/7TyCCOj8O5X2DQloYF5+49/RbvmzVNNTKxit+CmGadc9LeGY
rFpzuQnd9DzmSqybxnyzZp7jdYXQiPpqSatYD0PUH9rCSPmsRdcqN+21GnBmGkT5iQNLKz9Werzm
hvLm1xPoQT16+8zgaZ6928zkdTa/z8zoFRFqskViH+nxnSZSbkVM9OZMdqemheIQCBoWiEaRpDCm
4DrWy8DEVuCxHYBAoEqQdcFnb7CoqgL7wypR6KXCLyU2DdaMRC8cnV49Kr2EIOJgYqVmfNALimJT
cSbTWpeyBqLMFpNmWNmLzr/Qddm1XnRavfKEYD/axCY3zDIkYiSArmM9Yk/KvfqmZm8ii1atadV5
zoLpI9OrlZyLs9TL1jQP5wiokWALY6K7Vnots9nPGr2ojVmzS0OTTTFAjmKVY9+LabmurdXInlc5
qbPGYcKZudhYbIF+mDvwv91Pb6L2W+pV0QmGc6aXx1KvkZWadx17pasXzDGldiFl54SxxfOZYAyp
ckps03u4dm8tG6rd8v8N6mJiec0dvtVmgGqu91qfBbe04s8sDA+Cxbc2+KsRq/AwMRSzGpd2sv93
nvyeJzVF5e/nyX3xWVX/OU7qL/o1TtrWb4GAywAmhcjl96Xn98SKTV0WEyNpSCFsbst/nLRxJ5rw
0353Gv7ppB2SWNGke/7DMr+xDv/gPmR5fz1pM9CilXn8mgyv7jcl4s8n7Ur1vj2PQXhtlx2URWEt
zb77ztg5Bh2YW5GUffSKc6e7db4TeaUO5y2k9LwsvOiqMEd+yN9z7DZ6IJvsId4p18VfQfPcrPOI
y7GanXY7TuEtZ48vPr8pTCa6QEYbLpNNwCBF+273JjDFAKgiNYQHIy3eRQfF08/qiziTt7nmMHpD
R6Wvd/BN2pI4n4AblWtYngauELUnmXNlo6ilNsQbqTmP3KcPSpMfK8N6z0BBgtimjzDwfzRAIpdO
frBfX5KQLITGkXovIbn3QbMlsb59UtG9yTV1MgvhT5ILa69pF9xhjOc6PVmHFljlpKmVUvMrc8fo
iJTCtORhwO+2Mpgl6+WZC9RloCmYMoOH2Wkyps2JKXHhzsK733Wanml10MEygJoBYE2cmvDxNGvT
ArpZAt8cswwVub6eNZXTKCOxKzWpEzLxUWp2Z5gCgrSYODam1PghzfhsNO2TW0q5BslMiEDdliI/
9gAlVuTYfqpyCnhiQA3t6giLIQ9hJ1ZvZGwpSrGsr8EG6g5yVPKEyTSDNNI00umbSyohlNaaVao0
tXQGX7qAMS2NSv7g+3kexOtSepcufWgE46HDZCfqT+6l5qF2RHX7DVb8lvu8TQ3ztkp10WVTFHVC
fH3Iw/ZqjoV/LPrARUGYkn0aBAQziO+GlzghkpOf19OeVpr6yJ9LY25dkxIbysHC+wgSaLgulDVj
BKw5L01CuXucEG6xKUZ45JbSBDbGVlp0qTlnCAJKTqGQ+ePfx+H349DhvPz3j8P7t4/urfyshv9y
M9df+adnogmlikZ22+cijVf6jxWbxyXuao7f//NX+KpfKzatWw7GaviV/Be6KTv7rxU7AIKjM+XU
DjqhfqL+k5u57f7HM9H3WbH5txOmSyTwryZ+KH9Vv9SzvJ4LzgzumDY7Z0qyrQbelf487HojR3Di
cDi9yKw8N+SJ9x7Be2wvGFQihXeNQ7Z1F8felgaIEjmnIjTLhftsDsubiOyFpvfhU3ptv/WzXP8A
RPfOaHiXFCQnCGzQ1Bpuv1cwuLZZnDwNnLYlyiUjR3CCQX1yO+srn9WTTEruWPl1W3RwVuxDyIF7
FWYlRpWS3tessOjZUjSVz6bbr2M9KfIW+Mx891F6xms+GZ9ygrSvpYL1LBWDYF3+bEsm7tw0CDpN
I8M7OWuZU7sxhd67StxcZ/usdeFT+zeNtEOPqn5KyvrW9uKtVyO7+QpSZjsOE6y1/RgTazqSK75D
DLzkNfK5AKlT1Y1nNRJBOb8CPbKDF/hcMgJGdvSRVOJhIn8MN/pLxYT/08K+DTqlWAHR5aa4f6yN
wV6pcSB/XCQFqkHB5hViku88BGpOghuomu6hD0wcowVgRrMa/dVSsx+UKXbzPsrCrTFolDtlTzlR
q1VpOPtxNLI7QXxtM9s4xzMF/c9KES9EbTiXAPrSlV9LID+ch060loBPnfEDGbW5H+f+SM4o3XTO
ADNcFwON3x1B1bef09bWzqzXLs/i2/FZgOmYHQ92wJzSW4YvFFboYcYnmgw6llj2g385REMfvnZi
SX+WRU2oM7SomkhdK9qJHsqbb4IJ6tkA1rGtql3jSoIwi50+0svx1OHNR4oNX3MI6jxMGWKlm9kb
oxm5UajgIaywnpeCZ2Q07gtuWAce/o/GCP185KS4naOl2k+yiu/ArLQAC+3qutfnF5M/S4dX25yo
mtLglGyi69drTAXzTaXwAgejbEBuTu89Cs7Zz+0J723yCZhg5tCgTLg01pUR1BFNNjTllgYHCD8c
xkM3Rt3B7rzivvXa4nqq/eoht9VATDuFwedSwxQMAAY8/GojRq4YFN/sVRgH8I9zeBupqKjVtRzo
YjScDnE8r8OtSG36Jj2IAyqNvNOg0FyjZt0mlE4pF7ImnEGsAUgCsYv4bc+ucTSMUL7mmZQcPtpo
kwZDReS+zj9yRwClGmULbDI45TKBK00JybYbwoXaZ1pEuGCG3a10rOgiiZ3gMpgUIHyfrGthsO9T
u7bBf9PtZjOYNwPnh0sjWGoE7xyIhJiX7b/vo+/3kc2j++/fR5f1f3Nv6a/59SbCVapxZxRP2L+S
4b+mcxJCHo5RkzuQhzVf68B/ehNRSMz7ASnYd7CW/vEm8sE488LAdPU/2LV/ZDglzf0fYi/FlBCU
oT+z57Ej/F/Dab9w8BzF6F3FTrVctLhfm35VQ6Z3oR3F07KslmhkYzdsj4NsgM+rvlRmiSwxMhID
YBJmcRmMqQmgy475Z3C6NJXhbiMDrGm4JYHM7dRZQN/PtNBkY4xHC5Fqs5gx9OFV7hthA8qkI6wT
TgRsbzGxsrgnBrh3X8DrHOfqmYE7XWOdPQwVYPdel8G2Ol6MqPTdsdvvotF8yOiO7Sqv2NYlHYbK
vKt0vaxlzRTN0jjb1OW5aqMLiyZa1TdgyXQ5bdNwk2yO0FvoiYob/N+6yDb3sTcVs48WpGtu8dfE
PEQZtmnA5WBNDUDsYFmiHLfRNblm6DcbXAAn3mM/7Zkq3XScfgy6XNeKi3OZmmID5fOm1wW80puI
CehSXlyzA9n2Zd7kg1dA+6K8V4lOwMC3tyZ9k5tMV/xKun4NdyZ+C+dk1GmqMrJ+zjwp1qPoQdi3
h1RXBgPOvcgC5nZ47E+j4HWbtfKiH3PKhnXt8FI795QH7FqfQmJGWbAviPtRFzVHN2FEmN36KrPr
u7aV68hvzmDe1gn0Shg2sKrpd1Rj8e4qvDldMm0GjDFTkW/IAxvrqYlP0KK2XUPuBdsBx9thzlZk
kXOS6z4KszNclgYUXJId2QUiJA6n+HkERbfm6Ym2oZx0Y3jxzexjcXDDYW21w2kC+ITu1D3HNcRJ
mkrPSln3A7wxby6wFxH9zqvsLq6mi1TgbPBTLvG0OqGjqYI+SSM6dHmUrM05vDFF7W+D1vmsC6s/
WE3dw1eur4RVDfsEwGvl5I++8J40n69u2msjgVGApkKiqiAQTUgKZb18whiyUUxQo+m8mM1Yb7hs
8wIr7udcHNEICadFCVTwIBFr1WcoxKadnJumszZOCAUokfK58mF6ZfYAwA8nhds/uH3OuaLDxZJA
pOsFAFviIGJACouokoIfCgY8p5M5tzY1cLyNM4z3eGNy6hctkgUqPsa9G7Mxcm73gDIH8WsrwL/M
KQCyMEtbujaJx7vm+DilHCqs3MWv7SUnklQn0w/faLWiRCsGC2fX1j3D1y7t3AcO+nvDqW+kmcrV
nDr3LgejTQA/fYXTDG+Ve5n6jbF28nQ3p8Vz6vrVvrLUWxkv8yFXMUdXvMhAVbB2Gzn9MIwYO1Jg
L1mF2QrIALiDGa5DCOmOwcPcw3DrLlIqOEuJChjZhbuFEYrriZN30atry3I/O0Ckq7prrxrff6zb
KDl1Jc0pnjV/EkW6y7h0rzy4EvhgsHb1i/qSE24cOJHVJoptF+uhH2hUhbXnWFCvo2K896Kcj47p
0App0dBQNyn0NlWLNULDIY/nNy8Zqu3g6YI3L7zUti3LcD/zYXY29UwdGl1VfKBQl2mV/+pQm/EL
HtRSv1TfMjR6NH5LrB4o1KaWqoPZ4F41encujKVjPFAbvmhp27KzSwutW6F5A1E7Qxa5zcBKlEV2
TIb2PkpoJNFiOaeeC4V67hnNQ6PldEdxoze1xB5qsb3Tsjt9LqAnEeIzFPlKS/O+Funx+KyElu2l
FvDTST6FWtIfa3wok5b5WZox5iL8z1wAcn0KKAOHtrrZ5jrDncCWn1KfDXx9QKiwvSXY32btg7Mw
xBXaGYcv4anTXjkH05ztis9Eu+hUjtq4YKwz+/ojxGi3YLibLD4MDRa8RnvxJD7YjdD+PEs79drS
v5k4AMYOyU4jxs1XYOsT2Pv4rW7kmFyDnXB3QjsAY+0FXDiK+bzcNwmJnFH7BccomI+uthA2ERCI
cNl3mAtLCV4o0n5DSzsPEUUeHe1F9LQrUc7dFP5vgP1fl7vFDfnvp6Rj2Xx26Vvxnzqm/rrfJyWq
KzQmgczct1bJEPX7pOT9xo3C8pEQv5mxfNWvSYkqDMIyZHqAwMLt8RBGf+3slHOSlg7IedBHwfX0
H/nc8c3/ZVJi93eFTVO3YPSCt6x3+j+BZrkoddVstOpydvBe7xikA/+y8XnOfJnLUgmg/nQa12iG
+GSXQ+3lep+N5gyCoefmd5GNeyUgkscGNPlq5fx/9s6ku20kjbK/CHkQmNFLzhRFUdRsbXAkWcY8
DwHg1/cNue2SszLrtPfeVaVNm6aIiG947z7HeAt1pDbsx1+A5dymQZpfTynAlHp2jI1p01jD6GmP
peN8iyoPtntukPBZkBeFKJEHu4X/2Tnw0tB92ZczCpK9VmQshqFhFNNydNCyJ0nYXFXg/OCW+5co
itMDNrdi1VZy2jS2Xy06UiFpGEmlhHuDRho9/5U1TBepHV96ZcfRE2fpJtV8tC6Mab0F+2ASr4gN
34w+21Ozg0BakyawFCllUD3CXq+9Hi6KpX3J6CArZywu3Ki/E06kg9VHuYRCqmJWMGlXTeK8yYJu
vS5dsS3t5NucJM/IoLBYWoPI9zIA2lZZyXSP+i9ArhsdQxht+z5K3rtwNr4YJCafZ7T6m8HJmDO0
Gd5Q5nBQ0PzCP+A1FWtH6tqFVY36pR1z38e4hbhve+eycd2zB4n0luJpL6PpTqvQOpRWYW11rzy7
DhcHHB+oa7rlEIRAXsicokizdMm0d0q1SxH1nINTE9lfqIKQoOtmeuiCSXRb0qgmxoFzw9blFPGz
G7BTxcdJkA7BUcbGr8Z7rEtCQZXtCl9PjQ7/w41VKWOWZiiPFnlm80WjjFvxh4ernD2kYj4fQnDy
UY2h2kp9zlA/vTQQ0Iswn2+toRHj6k+P99Hjif85c9wzTfiHk+vTtFHYxADDesCz96Nb+3lyMVP0
dR1LH6XDR/Dgz5NLNXIsbGiJTPyDrEb+c3LZYDRJtvEYDX54Cn+LGSacX5Em6E5wLZrqPQArNsGG
0E1+PrnMKKtEOLjdVZ465NSWWbway5zUkvNkDDOiyNiPgtlZWwh0IiyqQyrXtugMgWWVkY9cWlNs
ZgfMfPXErtezERIyfVGNihidmqQrO4vMLcwuvEALy8piQHhakAzMgQK/LLjjnd66dvveb4qVS74X
Kde2LdsRPUSdtC/uDK15xooM4hmx5Perl8S1Zpu0lX+Maj3ah4QiLli5Wvd1CX/Sw+9bc7nbCytN
CLGp5XAgS33aoPUortws7W9gD8pXvbDtCiJDFL5iXxupIfVc1ZcloSllcJVotrXBnR9h/xBY5zxp
TmfhGsEeAa88poUrr0QydCuapG+lxByENNRoXojfQp/ToRxdRuiP95GddHeGrFGaMll88+bM3w5R
JsmagXiGkXqLSMW88WadzHDlscl6EphRgLNXsbsO44ajT1cN4AqqraTdWJVA8EhqrZAE/cAvnYdu
Vwc6dmFRgTjz/ch4NueKHNWZsnGRGr3xmlqtfejrNtxPLEGemCGZwHUNdOAVERmzl/envk/f+EiL
PZ2+uBVtrGfLBLTd0ZKI5G23jK4mMJurcLLjKztu261P3t06mX3vaq4ZhOU1HZs/wSaNWOe8ITDN
LnFwtw99Tthz6ycFbJDYOJqmyDC9RG2KLSSgrB1r50z0jLbh7Guv2V1XKzSf5YHh3XBo2/SC8TDd
r6d5G5Ql4zdpRdnOq/LwYixji/eWuNqRyZqOEbYF5VZOeFC6jiO8nrxiW4X4UkjjnRmaN2QFzIYf
XGSN5jzgPX8EDWJcGppXnXj7wUZLAZW1pYE8vWn0E6U22C6YlvswRibA3Dch2KWabqLGkyvkWHS+
cT+uGYcEmxZ+SfjnZP1OG1YzrX+vC7/0ry//fbKq1/yoCdltw6hRuEMORCZibGR+nKz8ksNDYQJC
wuXjuJ/2OMzVTJ8ND/MsfoursFs/akJPGSbhJvFLyvn4e3scgtP+VhPyd3CsOxbZ8GofIXjrn0/W
rKPkG8tRP3UJImy/sLcEdGsHEiCZZjG/P9vwYHY9XDlE8kHL2RuLZYcxSMXDLGQx1gu+2/Zl08z9
wvKgArfSYZpAC+WN1bGZNbwBurXovDegcJg1coTNJCivZkfu/cADTY+/oYrJnW6DbIGqmjQijkhZ
NDuLGOm7OiQiKqyqN0d6h7Kv7hvBLNoia53E6votm5Riq8VUyMm6wwBAIAAZUsWZFfNWJJZ1rZnO
IXAk2FgJNi6XWrDSBKDHLKvhuXYvbh++BTnCHS4KnQywqt57ha+qOe2G0IDs2u8aeO8Oju3M5MII
JvKkgtixiK5mfFEE03U0srJufPNrGzvnyK6vvA7gYhWlT7Fh3nWlDxcxMd4BRI5r5nD3lELruG73
vaNFQCHFLqj9rzqWw0US0av747nQk2PrGF/yIjxwdN2JBNm+PYOUaAz9rnITmkR+CB2OnmXGXh7N
DebxnvuIYMsnAjLTBfNBgcSNBtPSr9X2Gr1QfI59JYjPpScvpgkK5VRU33TF7nWKK2+ODwPBqHsz
aRnC+A0nESPKucnxB1IwJ/hUF26VrdwZPmWtaT1CcuqDBltS1iJoKpucgE/SaH2VS5sVoP8HJ9kT
AetT8YKcrElj91Ukq9YzxZ9jmwYaVGA9Gd+y0p7QdzkqCTcx/CvWUWRFFOzJghRIfWfn6abIgO+g
TDtFeVMtdQJ2pUraJYdZX4RT+S1XKbytKC/6xrhCpV8QRzaT1BtbDFFVeq+wtW0yEpE2EOzrEPBL
+Gu/bNiI10aE2pCV+aIN+XAzoIlYJOYHN54Qq5WvDFfh8JnWhVVoZ6FChaNp3RMy3NckoxWpA0Kq
a8w99fu+cvKLsbPXFhHFk0hPltkrj7rvLHRijHXijO2cyA4W+SU6PPe+6QDstIQfBxUpyJrXI02s
qdp7Xb/JiUoG77mt0+QmJgoMS+8XqTev7E5KuhXRrqZ2uPIabBSNI7Fu6sXR9vhwbUu7YHZisXSF
OIPLgVCO0L3Ua/GGwwqjL+HOFeK1xSCqTdUy74SpUK+mcdinmK6WQ6GTeCFfIz7rtZpFLQsHbk5p
VE9mUR199leOBw0lMlvaqeCt0+XGbbD7a5mslwymy2Wa9AcajHo5kXi2LCb7ayfto6wNdlleclkH
ZG3FKGOWqYHSI2qfvaQ+5HlxL9L5QWjtmfdH72HZC1/6R6IwSOsw+lU4D2T4ifTo1UpWOOs3rW8+
T51fnUKu3GU8auOFlk7avsxlA348vhzS+tbqtfeoSm88p0D8x66O+aSptKouf8pM87PLEVQ2QQ3I
0NSyfZ4zttIZ/Xum5SxrqDMLrXTTJX4FZKUeoha2BSfS7pFYyzIjZ5VkOdSW58RALhzYOjWUSP4Q
677fsyZrm3+/ZxUbZfFOBuU/9DHqlT9vW9wH2MFMyzXoWVgv/XrbwhvGgvmTgPJjAuP8hSuBucj3
C9VlbPLjsmVqw0DGZGgumJqoBddvCMlMV7Upv/gSABELbA5s0swP68Svl23bg8gYUk+7cu08gZe7
H2L4RkXm4EoHRLxJ3WmnId1eJlF+ZjiDfTVuiM2p00c54eTPkg5JFsPzKunJQ3GwcRlyYqJQU+VR
6r7KHDpBMj5Xen2cevLQXce7BHHSrC1EoEFl3od+AxOe7VLYZTcjDvelXZtvDonRg+u0y8DUz76u
McL0AhuvYPOoj+43QmzGTSKr2xxblity8kNTMjt6zZ0hDddPVk/seywqVK0MuRNua1i7GgpYJtIC
85dULjArMCkOejTQHxYxW7nFWKol2oroz+fqw0yWfBjLsu8us7Lt2JvXiV4x3xRWuPLZbZWl9DeV
aJTQasJxy5KdKbe5HuxCov1MrvtkAhJasEsqPVAuevK1c933ACUhFg0g7GZ3lQ33Rlu63OTMLaSP
RQGH2K07inQhcuM5yVokW35jkEwD678lCMAJ2vai1otXromEIyWLSn2NcpX5lpNbxrlO4UkXkWuv
5ITEN8I07JIm045UPIhKngoIhXnslqdqHstLNCrTUnP9deFCPgmrfZGVV62AFdBEm8x3L0Y7eKIp
Z6GYmtO+xLtAAabvcayyluHfvf4YWAUOiTF6RtQr7+fRCwljHGKX8BU+voUnCFAMpJmfAk+/o4xB
71ohjUMre7DyGJR+J+v4IW2hxq2bzCGkWkiSnozprLeUNboDoCJRILim0m9D6GMB00POSfNEetRG
G40dQpUzPc0+yOZtOvTkpMwtGN7wrvPyE6mdW2M0lCiQPFBcvq2sFlFi93srTx5p0+7o1LYSAQY7
NWZBTbsb+/CuYoXbyPi2yfsnEml3xI5iM8uiaunUsAjn2MRIh+IbuqqxGd3p0ilKHSQiwru+T94T
FqVDw3vTptBem6aEYW0Ei3F2t+ZsPxvUJ6QlgtHvs+McBje5XVf7ye4gD2nWLeEHr4XWrvP2rumF
II/CP4dRsqpInS8qJliOwOuTyFVSJlsml8QhJcTUmuYxbtPnvA8RcrvOhsEXwo+6WkVVGCu/xMw3
VL74AVA3PZdUvvMV3shTpHuPBpKLstVAhIwrJimvZqU7Kz1IbucwUpS7x7qRl5EtHrJaF2vdIIGh
UL6LVLsKdH+b5MVVj6tzQez86xBgIjEJcvfDiZ57yA5Zxm8TPjmdfQcwMN97YX85dMWB3zmvx9E0
L9wSegSa08zYiJjlijNrRX4Tsew3oF6HX5LYQHaT4N209W8zVQvk6C+tLzfSH+h1eQum99x5xRE6
h0ZL261M0aOix34SVk+UytHCUEIpjJyXntHfeKJG6z3KbNk05lPcN3vZNsBNBrzNngVpINzTsZyN
wo+X0zwc7UFGSzK8tkHReHu/qXZRSsiwlz4mRnrJ9PneLSp9gQb1pousFfj1Y1TUh1TvSQC2CPfl
Z5FXw5uV86hBNGGLjGQt7/fhJKAxxcMuM+pD7Rs3fEkuyp4xbtR0pzbQN4PLkq5nC54DcZ+hr2+G
VgeqLA+aLw6aqePnlNremqyd3qhGnLyjWe7kYK9IrboE4bbtsvncDSkprnnNQKHBocxX1kMmlLfZ
PU6YZ0glJ1KY9l1jvbcWibWlsxdm9DC08a3ttXe2RQlkO+QR2dHeHbzXVK/2IodFMZMjjI/6cuqK
i2JWlgQhjxH+8HgunsfMvPXVhh8PEBrZWl8mjr61hnhTVNUJe+khdr1vf6ar36er/7M2Obw3/6Bv
F5+qEhQ0jnBAHTtoJr+PUH/OAHQqDJTvNtWH6vQ/zQAYodJgw1CjYGA68HkGYDFdZQqgu2QX8CCa
v7UX+hDI/FqVOB6UbdTyDgBs2/0bZNsVVaiLaO6uXHpHPBRxA2QzMmjzasvf8p17aYNQburKBihP
igyNRd56PbwNNzaSL7EBl+MUBWWP0Q0jDpqNPpH6GgRn715XBDvL60JWVxUr9juM9FAMI3N24SjO
LYuLKHnGxcggtyCMpdIDZrYh9XQwIbJkzGtYc7TpPiZWtQ2GDC+dlkPUFJ2btV/yCFhltRjBNWJ5
MXunjduNUYyxuMhzOZe34cyCYxsTakQ4Mxj8rW+GyN9dzP/j0DmrppTJll6hXss6ENshdcRajvW8
1enoHuYh6tFn+JMzr02qt3A1Gf48rrMeKgCbs0BDnG1VGhCTanaO/dRG5aoySuc2dhxKFDAaUALw
D2wFw4DuNjUzuLFYJLPTiBrJ2NYu/x8pbPk0S8tPFhVMzYS2OyrdPcQiU/8jcvvePgh2D//ePhzi
Imz/e06nXvSjc0DKZrmWzbMoHDA8ajf66RnFSoj/gw2JwuD/Z3Xr/AVT1kMH7cGX/XgOf3YOagHC
U+sa7IJdFr+/tQBxmff9rXFgRQw/DUYjISy6xeHyeUonArMjdQFjJ1l9ZnMPqYtoKzrqnKEO+VEg
rXFOxMfWS82nqnRGnCIyO+uaufTBAOXgS0aYgZ2r48acPEq7fV42eMTcAVwwCiweqLYNLqSZYQgr
s3JOzyUssgpXHGjZ51Ea3ZIp5tXkFPXKUgCz2R2BSdXRa+liSjAU5owNN7JsXVuOEND8IqFVNtJp
JaGjRSJ4YmYPL63UE1Aw2QdHLSVED6ExcLXBbkArkUTojs6y7LnSjpY2ObsJgHFsxQHk30yu9Y5I
laAYqleDsMJwSJxl5+TBUlTFpkUfvEQ1t6sTbQfir4NZWLzqZpOwtwjMFeCO+zjU3oxjVUzHEnn2
aLp8PNlM+ngW3InaO+cU9f6EyXk+i865l0P7iMF4bWHh9Y9/7srvdyWPx78/iJcv6fs/PIe85sdz
aBh/maQCsavymH/r5ucO3vyL55IHCg2o4sd/0lD4sAKFUpv+P0cEf+CPFt77y2ERycXGlBvEwO+h
BRjM//1JVGeAz3/XOXgQRapf/6ShQD3AqVwX9ikdsvCAQ7UObscxLWoaDVyx0mICOblQp2vi7kH6
ZnurAU5m95q9SwNKtnwyyJuWOlqEBOvEZuzRt1mokBYmlkjPJr1EJoifME1faH5iH92ZlJMx0zdO
zpiQbPWNP3vvdjKQ4z7BGQwCa8bBFIWHgrithNgt7SN/SyVxdURyGQPZXJlK6WpVXpcENZPhm53N
aisJ9KpVspeuMr5aA+9GQexXN4srv/XfwQ4S5OedUHDvEZzdQq7basSGaSH5YUVQHmoCxRqVLEZQ
3lPWhUtPi5gR2Pdh7I0LJCgYKVKzYksXfmFLtje9ap3owReTALM+wrA5DWRuph3pZrAIsWNYNE4q
+axpGHe7hKHVKhUtbQwcX9lVDRUGDE94rAlQawhS64CVd3zQzJ8JKi5RoU9BdYFT1KX773ZQclGk
Ai5V+Wz+TNRoquYXFdltpjtdzIS5eU10nlS6W9Ql+z5EvVar5Dd/4hhUWXCVSoVL2ICwGf2CGnDL
/g/cqdnMm3DKSP6pojeyRJmjV+TMoRvcAva/yFQCXU4UXaEy6aRKp1OC1iqIrLXZfOtVfp2TkmSH
fAJJCjN66sZvmkq7s3wfnwqD9Vkl4Q1ufeepbDyNkLyUsLyMxB5/aKDnAmlNOvL07BBd/6gy9tDe
XniE7rlsTRFLwqIVBPJZDPfBNz6P+nyusfoiq/giK4heDVF++P6h58kUSHabXOWMn1J8OvCvVAIg
UYCjygTUhI1Cowo3CXGBE+TVBRv6jUuQ4ERZif+jUWj22GlfB5LFLtmLoxjJlZesIwglW0nlMOPf
D8rww3ZGZCoD9wEvpctayAVqiL+Zn5ThFj4BC7wYQwFfUBR8izggiaTAKuJryLxZBRATyTUS7aZB
P808DGe4su421Tx5rlgeE9RsXJhmYi4hP9GE85o5rrRTEtILuaNeMjoZUP8y9ErRSeKxsMx43Ofg
gxd2XcYXnjfC5B1suYbA1S2mCEihPgwbCabL08MTZDWSlA1xNMlNXri+f8YdCkgiS65qB0W2IR6R
F0y3jdDSL4VI6MBqmNsm/b0ImmrtdXwhG8dMgR0hyLaIAkB+TbgwYgFE0x7fG4NwSLcgV0nIfrhC
GUjoUUmmhTYdsYisU5+E2x4R0aLPiHsw4va16bWtAFK5GIgVLpzeRHnrXWiAVi4Qb3urskpIDfSK
5tmgpl/YAEQx0Q/OwlIXJXMrQGVsVDZalcG47Gb9rRbGU5LnwcYnNnMtG+lti3nkVEozMLw5e6hW
S3Tq5bpE76l+voGTM6oPaKWjbSblVcwTtZQEriW4PCLJv1rXbEK7y4OYzG2cky5a+gCMkrmhM/a9
5Qi/iTOj5ycENwC42Aa26rTJi5yVWoxnRCkxIT0eGGIwT6j0bWynX+BbbXutvZ3TYUBWiZg+QhRa
sB1o+wabbQ+DGjbcNqiqndO339BgRiuby2MFrp8HNs0WxtEb87u8TbJLPxquCz5R5FOA4/OSkVMI
nwBpxCOlz0Za1QEl5vtYGmKRlflFl0qW6mLcuoAK/1QI3yuE/7lRv3xp2/d/6qc/7dSp1RXE3IEz
bvCoKTLwz1qdsEL1n5mNI3H83E8TY0hJwb4duwrV/Mdu4EeN4P+FkxEHiyoUqOhZ0v/GmP/D9vJr
tW6z6LeIjDJ0C3ek/7caYej9UaMKl6eJ2tddR0OQMJ50QYiFUxzBNgsO3ZyG5npKhiF9EL3ACM0Y
IO721RyrtGmH+VE7+XJeJ6PRQe6RVVGS+VGYjv02opdUmBniTYkoZcIFArfB3yVC/5uv56K7ndq2
bTY4zoBnBwR3g32oSumQVaiplrV2QmMmGiaVcBXmUoAWYgk+inVuoOBfW2rCv1A0OPQtqdj2ekpO
RjOEln2fCZJgNqQ/EGgvOHAKx+p2FVSd3WhOffJNmt64CRNUQuswTPJurbjzjOzG8EILvOw1xkK+
8sFokBpeTcNay9BEEZHL/RwhG9VzjcE+sqzXwUaoNM+5ue0w40QczqG1tafomyM1ghQL7xuVDrKC
PISTXvFrxKExxx96cGSYDw9RCGzQU4dqGMMbQVKKG6bRaAlcN+WU7lK4v+yeFw1MFVogJvliivUd
8ezUIQGcMeEp+c9chhdVo2XXlrJMsJnwt15VvKfubG/NzGTaHg3Wti27eK2T8k3ZRlS5ZffZNSPI
dln7AF6qwVjkdS3XnlZSwXnmewQdbUfPw9eCHS3GbQsuRRm6jN211yolt8iZs37J7epto6b55sog
gO5GieTmFH4r2ZB7kXWGuy3LvL3wbT1ZGVqUHHnP2DDIVsZyNyzjPkFxQawguig5nX0/sLfSL/N1
q0JxSplD0GwsbyH7APDc3PA2PfMpK1KDYw8+TdNYbDIlgCIwWARtVHBv+tJMtgCt63NIJBELT9md
3ZiKZJ5EDSBxmrDQlwbEJ90f1y1x7wq4V61H4fZwEgnPCMYi3YkMgh1jmXz359j8ODYtZgL/3lgR
NdW9N//dWqlX/WythEowF3DbPlaZapDx6dj0LfpzmiqhREq/tFasKoXKk2DkiMmPc/jHsanc5mQD
6pybgDjVYfsbxyZKzv9qreC8095xpusMTXTe3+fWajAKA8iQP51owNqNrmXFukU8Tp1mEvRIzhN8
K0xzNvBqO0CCIBEZ6RhzkTsw/Fb6ozjS7ctRaZKGhMV9j0KGhFh9mU0mY0HR+cTNUFliGq/OBoUx
JOJOO7CesLct8idf7es1FvdFzfeekeg5j0v0J2q7r1VDBv7BPc1q818oDUBYoQaIS0mh5lFd9kCM
aJ+MM/opgJq57FdgKNa6UhZoSmNgK7WBSPvCYwuHBiFGjEDh+y4RJ5SIFCqlVmg4AfaJUjCEii45
K1WD3jvPiCBvfKV3CChtLE+XK5Sbq1ZpIgLEEVg0F7VSS+B4POvIJ3KUUj5yihhZBXOgLUlDvNlZ
GktCqi4t9IkL9K/HufK+zkqdwWNbLz1jOExKucG0pSZaHp5QxObXR96RKp2HjeCD3Oi1q9VHyMNP
SawMz0obEiuVCIX+6xwbV4Jify296iaOwmypJ2btXbemp01brcclXyGUWAY651NNnronkE6Rr25g
0yGpemvoRMkLfyPIYZ89L17b7kBnawNZaj6ck7RmRd8qCVgCOkWFuvshXYg0rEeCzI69Cn6vrWo9
jETBt9N74Dprw0AnZZAVT77Gt94N8bypGPlOBcoLFS3vkTEfNAiQXBU7XyXVOSKH3lOB9EJF00cq
pL5RDUZBbv1gdA8JOfa9CrR3HOyEyls31xuAukpWSoiPcM6jDB9JC/O5pNpD2HTZatDyYe05fF29
FpgvWI9u5U5Y6tysiPF8ttg8QwrjuPZpFpPrFKIHaXPo16TXrKa6xQhtxy/0tOGyG8oXdzSbZTsC
q2o1+OkETFl0m2kKzc6CmGRgeiJQqyIkKLSYHIQg58mXx0Rp7Iw8xzcPF7UvUjbj4wwgpmZZR2Yz
Lk15ZuyH78sMFsWYe2ts9Je5Y+wczyPRPvSBdLUtYGXDhlMm9jp7uIVTiW6BkJa48mw8laO2b8qu
WUwyfeuT/jHJScaa5HVi9bRCYf7OIXXVGCFEYuldsdPV14nHsjdosUL6Ey1TZX7FCIeGuIp2Zja9
ygQNolHckiwOHdyev2QEY9GH2OHGA0e4qbBDLEDTfGnL+myE9JFJkr4nM/EAkHy3cy/dpZFpDveR
0uyEsBKjkGaWKc1aq9LHQpaPogGK6AyMF/TkmU6K5VlXkpaE+3YRl+YRNvND0mgH1OgXnp+TXTna
ayeqLgJ8H8u+xKdqCwEOR/vS1dNWoXkQxWUL6aog+NB96mZimaj9/N1QuT4AQj/fScEXrwYvezLS
0tNWtSIZ/LkWv3cT//NaPL408T81E59vRTVwZPLPeN3m/lFrtp+3IgNHA88BIAJGRCwF/jP5J9GE
BFMm8czk/9+Y8set6P6ltnZY5U2YVhYRp791K6q94a/NBMsFuh2LhoJ3wR/4662Iz9OGYq7PJzOP
HmoT2GbGIYYeoa5XYs43Xu1sBQQze8LDPPoPmLSZWPQjiDnfuUs862iW3T5PknU9eEG7cl0SKdZx
JKv7rPQxSBj6OdSKZt9B4QOhnyXaK1QPauZCQHQ5uMFAYrmtVBNO5ia7tsMvmfNEn3XmFvCTnVuZ
InEA33AiYpOKsDBXVYSEpB7Lu2nSHhAK35vwOBe6QWOvN8AttYk0Pu8CWs2KlIG3BvWhnSLgCVnj
V4lxDZPuwRjaYhV1TAmDLj0OFbiPPii+TQ0Ogoh4zsBi7oKiw1zbxnhCo/tSZ5Aq7cEkRLaMvtYy
n1edHsCyG711qHdYV8sI+zZ+Fp5mzZr2ciy1JROeg+jdk0lqZS+iw4yiiH2oy4QqUmbW4dAM1WOk
+1808B2c9OY55Q5EkPqQxqj1m2S+7xq5GXpRXYlAAiosvxm6WA1NfOP3FThUghurMGdtPyG46Q9a
OaC5hYeK0IojyTR7hlSMLzQNpYCZpShrNHAbkbNEl2SsAkROAPsj72TQM1Fh1+ly6MjBjEq57BSP
q0zIlcnpk9Zems7LYiQrj13vWzSFF4XJULILYHQR+8Llb+zpnHd935yCDFOYyVgNe0pTV9xsnHfb
zs6Yu3GR7c2Oy6W1j92I7MgsDWMZFcPG0oPXlKyUNBuJFuEsT4rxJXSok/gzl8SYkw1BjqGMGC9F
pvaiN2FCnBQxICIlZZCxMgZBaB98sGtPJ2DE6COHhFOTW7dobqM2sK6MDoGCMEKg0C6JpXODuAh2
AUh5zNTZ4K48ULHbQoMCnvH9RwLjQfSz9lrdPlBa7vTeeJBDJ5Zh1OqrrjXEFdOx5JImGrYovpF1
ZOfzIhhIRylGgPgmPvvtJIR+VY2mcY4NBUdNh61vVTtm7Bd5SiEw1sYL7k6bgeQUn1yTwGIf783k
Ia/tWrmif8yWtixep7bcGEP8VIZcqn6H8Zcg0mWSTdnJsmDhj/l3tODb+H/CdxCL5MSXxeeYbnUG
/GeD79lw8Dht0AKgIFCiAWr0z5VzZY5A1hClnLL8PrW+ksYu8/2nduL/76/wQT2zm+GM1FEr/PpX
TFU4tgmi91Pavvbp9VTdFf7lnzvq444y6HT+vXVTdxSohpf/bt7U6340b8y8TLXfos/itsIP9+ma
0v8yfZvQP3V9eUq++kPY6pKTRUf304f3qXdzmYYRTOHjR8b7YYDI/o3ejY7wl2+gTbiXuvKw5ln4
VtQ35NevByVRarjI50+5zhD4GGFHeB6FHnlw54sivC7BtF7Mfe08O5Elm52vIQ7Foq6Raj+77YMf
WeWt78f2vARPJEHHF2732Jq9AF4LAZsaC0G+FWsPo8HhM4aztcwMI10ao3Pt4Z7qSfHsB+cuzKYX
Gc4v5KxaPGk3Tuuh+UP7ZGR5zAHKjFmkznocghWpDhfoR/ALt1T4YUMoRKhPL2nd0Jkw8l70RqgA
+wAAJ7o+sjU9hcYfVTyKt7B7f2+FTbMYZLCrcufGGuybPHbEKjXdr1MwXsGjQLM6cC8V9S1S9ufI
Yx1QBtwVQEMIWzVmYsViP1+WQxkvHcu+SRz3cvDaJwOzQ0oq4WXelIc+QkZLii4JLa2LO7EJ2ZjI
Cv7DnN7Qyt7X1lwdzWYoF6QziUWjFldNTsiutNSuI2Ot1JkjMroizC5Bl7G8R8TvQCxohV5BsWre
57aZ2CyM2dpr+13WEn9IYSpA/EKoSKDo+kvLwpSGjHoDP5WGKOEzQDIjIRZ49i4u+F/WMPYYQsqH
Ikq/wh05e1a08qrsTaTRnVMSY9V1CUGIdrBnJ3OOKwXDtN1oyV40WIQY4UK1ky8z6yZynDurwQMB
5/CrUxYH+Gw31eSBftIJdCoKkI6gqhP6pfFQKEsS/eTCKottFmvjwrB6EpkE8r26eEicNls5jow3
4H7XTkWyqu0QNi+pAtBgbqzaHa56RRJ3p9br2H7tu9TJH7xcpQqm/XkeuMtsM7oqZnw1tQaYIZn6
+2ZKXgMal50T0XjYYGlAdj46hvfkBuHSoCAByQOjR70NfbjRJnyBwXzK0higtLHxg2u+rCVG9f4y
89PreXKeYwd4dUFQzqYZMVtYMJaRFk1QufjaCTu5LA06ZlY1THK9R80F497ZEpFpMkLyauJNKtMr
u8pPBI0dLN+5HlqP0HO1MAxdC4RN/QyPkqAv4z7vMsTLpXtRDc5piqXJ/U9p4pNUNNQUj0F7x2bt
1dHGI97XdyPI72Ct7QX5PsmQ0vORXrTsMh9kSMnPgUne10wgZjRmxpjemLFgKZwT/3jijGX0VDds
uIWen4xAXNdcm7WfvmpasPRKzDtuxB4mN/PrjgYLLjBlZ94Vj5HyIHFtIkXVi+ygZX21tFWOR4A+
YOnm+Qtz0XTdTdlZtMFTRnDVkvUAc27f2vnefJkV3bEXKShw64t08heqSZJj+Esl3o4qXmUBGSJE
YbQZ4kjT2pkVnIA4YIpAbU9Ui1dsJpgvlqFcuvR1kx1dACU0D7FoijPy7qC9GAdB+O5cEGRkmDO+
1rrbicR77PMiYxSbE81Myni7qTO928JLx9RflMjERsu4HifrgsWmuIp4sJb8zO1T4VKZ2AMaPEDf
4+NcA5ZrhMgOiQWmp+MjWMtMy3aCfSDoJ0roRYg+D+qJ00W7TjOZoONlIt0MZMJGS4J08eea/n5N
03r9j2u6/Fq+/cMdzYs+3dFKRcms1IJhyJX86Y5m9gqw04SHRoVooNj8cUmzl6Kwsny0nIhTsJr8
nK9+bKzoTWkzfd0D2/FbnaSSx3wqErmiLYaJePwFhmmdGe/fKri6rKFmR0l0/X/ZO5PluJGsS79K
W+2Rhnkw6+oFEDMZjOAkkdrAKIrEPM94+v48lJJIJpP607qXuSlTlkQiBsDd773nfKeCumhvqtP0
x7AOCmMFFpTgNBpChTUwJ+pKuvfkPIgB0tSObb2yT4Ol4TRkwkS+YZSi+Q9lksXyklSWFMso6RT+
TgnjCQUnFODgqCd5BGSz0sOy95QOhjJGK2NOib9rHF8MM+gwkZExmSB8eKoce3LrqSN+EZxuFW6s
oWvwmccGeYlAtYxNFdRwrPKsIcuqGtIav5eQSnTaNFjLwIai7yY2+vm5xetlcPT+fs7+l36jcrN8
cOs/5dz70bugQH7wx+2PdAsdMVZmmH/scq/MV7oIjGHAAGCaAsLBGPXnGVWX8UfT74fvcHouhODq
RyeF+QKwWlm2KAaNf3I+NUwxcn1dIRkwDIFboNN0LOfUZXkh27IQJ9lMN6WDImEKajkwyPr85A8h
CFeDdNZOk1eGEq/qKSAQGlpyfeXUmXSpWj39ZKRIuQWp1sEz6CBfWHSNUn8mSMKaHg2JI4MZ+hnY
E3QQcSW0Eao9r4Nm4E8cm9fAxdH0Cg0FKsxx2ZeSs6oRWORlIj8GFZqLSh3LVSF0GAODHrcX2oy2
4N9qQq/RJWr9pTxpOISaYw57Yzfk1i6OaxINmcUCIFexVknrTiWMdVTZDIQ+hFqcyaeos5GOUGOS
gUhEMnsjhlGhL8nqOFiy9GgkjtFVxwpMoH0yYmlBmqJhrF7anFFdVehWZm1YAMRrjjEpbS658Ok9
577pWlFAppHmCu73IqqCcEEz6zKeW4iJiGQmWdhoORUQQv/YRASW2XSn9JaQTltobCyhtmlB5ezy
kwJHaHGgkMnL5iTQARRIa12odvrSVl2+FgmzBANvA3FP3Baah7V3V4m2fNIX4+UstEB5oyeXI/Kg
QuiEHKEY8k/ioWSeoxWnH5RrsEwxa8ZCZlQLwdF80h6No24vSDNBkYQPe2YmnZf+NZm95bo/YbS5
sfNtXvc9+zhaId+U7H2kQwFxIanuE5MfzvdK1fmXShfep6FBKFluPgR1ZrgDUJ8ljcP7RGmDpd9i
u3YgjzNcOE8Fbs+Op0NKEooXTtlzOBuLSgvaw4RAC56ybnl6bSeE1gE5lHpzW/eVtVMN+jx9PF2z
5vI1ZdlaD/kfpyaKYzQ6/K2TUNtHHTpew23Vzo/cumdQsu+NUtpNmoVCjCH20TAaIi5qIkTo44N8
9NQGgkYZp+050lfygLjRoMwO5qqujOrM1Dm/SEVBAM6gugz7uzWEli+iMQNMQPEmlGy7YSQoLu0D
ZWXovk1qcbaSMuebKjVQ8bPLoutufWjBTWnhQVal8oKY32mrCtl8UMwbyaDBldGMupFj31/a9lMr
jWdRap0hEjyfQni1Vhyuq3ECpjyveM8He8rPjSz7MvfSmaFE51lISETUGf4+twHCZcCVV10YXIfT
GGwJZ9zWcb9JKr4kO+QYPESxK8WW76qJ/RB0A0+gGR3GviDFLuccKrV9BuWIxEUz3TrYu+0a0nfN
9LxIFIRJz6YFp63NVhS0q5JpmtzTBwpUOpo0h8Iyxr6jn5HnTPwtsHy4oyEFcHprp/KBeuXW7GX2
PzzhJrFVjrnz7fm5rJQrY+62VmcDHsyWJrA++CwjGa2Jh3jkITS1tVn3yyYISpIJmLMl+ZVdqN8c
AIpulmpPrTNd6RKJd/CU91M1gw7RvZLvOIshkurMbIKs9/oZNxOxA4/M72+Y4TD3SOJt3YVHIN+H
zIZWjTPLH4uNlRUYn7l8asiXRJ+S+DZ56jxtc79bSAxwkKgza0k2lkmEbhlvzGZcMVQdWYmiR9MW
SdblRkIBmITWciqLA/4te5nLxRpgT+zCVz2qzMqiPtiMoBqzQjonM2o1pdFD1YGzTkbsdNkzU2TP
B0lJI97z2xSk4lPhd1ek93FHyuTI0mgbSEcmNQhz+wKWBtF6taf7BNvp9nXTmisqdgJPRviFzk0a
z+qCiSvSr0FeZ+TEOz4h9plPVKclr5j1PE9VdMEKtyLDwWvIsjVtpJJBE27psG7Gub6TlZbqwr5m
Inhnh82VcE12GWHz5VMly6GHeoRpKXxys1w1PoGogb4MydQNtPBSAwpW9NoVddazIkGirZndwUUr
ZXkjOf3GbqSVHKbXMYF3raHcUtW7lg/fzzRKSLUAaORuxaN40Tj2StGaneZPXLBakok9Uvk3CzCT
OWgj9ZGE8Tt+FSli6OInTGckSAi6eThAgxgemryhTSydgSPbzpIFmpOxYF8nqxAUmBuWfkWe4US7
17TWakt2X5d/aZHxTqWFdc9CEIOclsnfJrdhJI4ZXQnDAcXR3w21/Lmo46tCUgjFGSm0Oj47CLt5
u7Fag7vTwgnQX2L8OStn1K8SFJHI2tijf/BFRoae7XpfweQW2cyAo1WWTkdoZeTLDG452FAmnXOU
lvclKNqppmvOWf3Wr83Lpm4OeWNcIUqVXZBF1x090r6ECCFkA7mRnqdGsKOXLLsDcWe1WKjm4m5K
2jO1Bv1dhjzZA62pwWsGMT7CQlnmt3U57RS1OJNUwhaJ3/S/IvBKrxsELx5zvl0tA7mAfEq6JhtP
/A3c423cZgTTDC1WXKu9h6xMsyLBUYo4OVK+mRkd6ba6S+pwK6vKgfUWYVGdMOJpzhgL8lySp+rN
snIfGk25crTkJmO0zLAlWSeacowTO6aRQze/GLQVOrmNn5jeoEqQOeaC3ETm6MFAnMakiuQOskvy
4xiY69gfdyPo31IqlxKBly2kE+HY4AlgWBr31rLrgmUdSrlHUhea7c7LUjYJdOWbXrK/9b2xgsW0
htK1iuRxSaed9achNCkY59WY5WdTG5zVrXFDFB17TUs2B4f7Nko8MjGlXa7q3OtYQwkar5Vim0rt
fqY72NTlY2fXyyBuHGQJ477XGTNkMtvfiyPt/6jBbWj0NU1L1/DaoZh63cFsh7quuyiXDnJGLhpY
2uRKggby8UVeAwBEo15cBMyOrKHA1dQ3jXoi/WSTVEXpMNpfa7LFuvuxQJK6yNCpfXyl9w68L68k
XsmLA2/hF5My+1xJtS9CnU6BhWl/xkv+Ke6+RIgZPr7cXycQvDGeJuyo9EEYmb6+nEpUmu2nRXDs
pS9td1YFj3lKNf2z5njnC3rvHXFa5rDMZdAdvbmED9RUdqYyPIJviYd1N03LlNDPLFhHTATV9uLj
y73zjnTFoWhhpkJD26SYf/kBing9dZLb6Ii3zI00qkzsiclv3hNl/9uy5NVFxN+/+JYaX2rx9nKR
mEZyW5/HTrj4f3sb4m2+uELfznT/ENAf63JvDmDnihufaMKPL8Lw4cO38earKRPMaX3WRMdRIrbH
8JzoiBOUBe7eoK/dHNSu+c0V3/t2cIzgCUAMZqAEfv22ksjOojxWoqNVXVZy4JXp1vKfP35X710D
vbCpw+JCl2a/+eh8YrpNu6/jY96Ey4zc2rzwhvT244u899FBf2VQCAQPasmbixRDaFlRNMZ8P/e5
eR5SKcYsBo5/DTxHR285+JcfX1HcU29KYZa4X1d882WFEEXrUpmI72SAi8WN8JnfLAbK609OaKgN
xUJlTQaXIJ+Jcv/lTdcUwNjDUcmO8Tm6gi2b5x7TzNK4DK8MD/TVyvak1cfv6vUlTyvrq3f15pJw
H7MRfWp87M0GjD9GDOy0arH5+Crvf3bMuGR2TsM03nxb5qyYVpvJ8RFgl6eS1Igc6uMriE//7beD
RpO7zaEtyBD59UdXYuMkvBaOiUXpO9kqp80vkU6udhz/5r2894m9vNKbBY65f1HTzY+PCmBr+9Lw
r6v5N8vb+5fAMwuujifJenOrRUrS2/ocJMc8Pxg0/8ZIdQGG/2are+8R4mb7eZU3X31S92E7BVwl
Sh5T8us1aQmOwQDslbRHKVmnxm++o7+8LXT9YISwKbIVIcl5c1SAy2iRYlakx7ZfV/WXwVxW89XH
t8FfbrQ3lxDN3BfLdt4HfKBhlR7heruKhPE8Nn7zsb1/CRHFjDnSoc/2+hLxOGZSSqV1bNJHad4y
H/vNBf5yK/MeAMCiSzBovJH48foCLJ3WoORzduScl3XkKcfbiEC63Hk6fVb/dmVV9cVNs3hoH/4X
uWFAWC4IEPvvf/ZP9ePTt3cmEvzUz5Ys3VXQEgaK7xNEgr/6KW5T/lB1JhUO/VBWrRctWQ1cBSdh
EBMIvh0CGXngfrRkCepGasJIQtMYHwqb/D+QDZDuzS3wa7U7yQYsosyYSwj6BFOT17eIJqn0Qqok
OSiy3tY7p41KGZh/pkuf7SKx0FKZDLI9IFAVTNtk0akZAKxsM263QHLWuUhoFi2o1v5EV6d0y6i/
AdJXn8kjYXl3vghtNVsMkhMHV4+URhJdEyKNcaZsStWAFYfDvUimwygRxuFY6oPPjezhzDgryYrN
zZEhBemxIymypYiT7ezxE8na38zSuiq1gl8AwnYTjAbyL7vY6I1z2ZJO2xfQo9An00NSZHNZIsq9
9UmzhaDLXFqeWi8ZlQPJTpdDBvvWnBAdByIOd6ztTW9irMmSYeMDgNRFdO5QTN2yF3G6RVH1Sw4T
8aYkiGLpIIlm/uqTjluFd11StYvcKJN1AIndncUAUBOjQDTRTAUHMSBEX0UJXJ3mhmC6J5zFDBPD
UC6XiRgwNmLUiME5uLLE+NEUg8hCjCQx2BuHSIwpA4WB5cTkshIjTEIXgaGLsaZZWe26FqPO8DT1
7MUAVGUS6ouRaC6Go7hHe0y/DEwRlTE7jcUY1RcDVbusqfwyhL8BryGvop1uSaaydSBUJSt1SDA7
W4nyVak0fUEAmWtVcbwPybHBkEcipSBjYbd09WBeyUZ2SXIPwZfjVOBDrpMnwt0/V01yXsikfmfW
sE6RSXvM5Pa1I+2BYHEjZdHCKIGihfmuVOt7VUrO4yEq3ErNbrSAcLk2tB/1sjrC/bvIs5GY4rC1
EqLQJyBJ2JY1LLRGGM97/Ge5K8OgTkoYBZre+3S1w22X+UhXfLoOo6nay2wOHueRZdeXi4Jimw5p
IUb7hpOHtHuNRzrPtdAVJB4msGahheOyU1CMZ9NtIBJ6wCQY9Mn6GPU+rXuM4Bew9LOFLRvkIgdZ
RHplQK41/xKPrhvSarEooLxEBt2aGsSS2rPer6cw6hfyKEOlA9uS1ISIT2XS7GSU+GY09h5dWHUZ
CSqaDB7NFJw0H2DaIBAQjmCo+XljuRX+LUcQ1pgAOW4DdC3zg28QxFKPp8trBZctFoA2QWqbCPNR
ZJSWnaC4FYLnRsPCWdnc+rJgveUyVMyFD5oLVxcNYWKMYqtIdrmAwv27f3wfaHMS+llh/2X/uHjq
H749vLN/8FMv9w/mzmzkqqpRZbGFv9w/bGH9gWhgQ0Zhaf8hO4PGoJpkV5oMmgXCgV3nx/7hMO0z
Tss9Lst/ONUDgfJ2+7CYfDA7hPmI4INX8Xr78Emd1Aw/mg5RftQmS1g8IJ+NrXM7zurgypNauY6a
nwMzvyLC7utUppJnkeGEPBXbHbHhSE9aZ9ckAg5GOswomV8xIu7Tzvk0z9WtNmAXIYG2kkzBmLfu
0zIrMW+YqkfiylpWs3PabDT4/N5xk1mD61bR5zUBHldm8slkTV9pBc5oha6pCsQEfqpxl6TWp2Ca
v+KIzD0/cTZD1d0mUXusHf0isuEQce68zpLxtijG4MLv2x1xiqU7Sc2ZYscd7VxofmPBe54Xsa25
ZFVsOztcwbL0mQLkqzyUPndl5DGmcKnSLlI7WM16SKi5Zfkg8BqaQfiTSFVaVTYjRXiCLtaxb+RY
HZpEMTFNVtP1LGUsLz6q3bLx5mpEBBVrkScBMELDIsVLRzLuszlRlyYRFyw0cgpPLiL6cIBLK42+
sGLGC3voFynnkIUz6QwDndnVFOKKaP0v59r4RJQQguaAsKZrBxtq67idUdAiHM2mmW+VYZhjj1Fj
hW0bvwf22ZiOxsU4BbEwtAapvoBOD64ZB5VtYo9vprWcjpt56M1lx1zExfu/BsLYeyeShk/zXLcQ
JDBVeyrha6Ry47j0Sb7MOisYXR+MGn532+b5l4ixgm8wYCTl0tCb7dQBtK2tmJjGfINwXlqGSUmE
gNXvHZng82TSzthKP0+6ucvKEgCOMT1UilHd6hnjgEy/UhCDDeWwRQyxHuPYJ/bMJ4Yt8jc0GQov
qLSzCc+t60h00ycJl9ac2Z+knjGTWUlA91SG0z0BcuxLtj9sZ8eA1ViUWPmDHLGhhD2nKtdRFOIl
tTjBqP5K62jNQrTHztl9mtP0c2qoz4XGZ+bH1R0ZIee5n9zS5b8Psvo4hsQNja1NLNl819R5xq8P
N4TAWF4KXzAf213WWdzN8XzXM8fKleqhnaKlZahnxHQtlKi8N6OhXfgakL9EzlFw1OlNp9e3YWP0
btmRIipbyRmD5mU5w7hsrfuKE4JLmMm+5lwFam8ta/5nhTniWp6Yf3bdF8MOrrAlrCwlP9BbPYyl
7PCMzSp5cRwCKjMnYbm/ULVgleTfEo4DXd/Gy2bw10U0QJ0WAGwQ08cIAbct+/w/ApLdWs0dqTOj
x1nrIRMgbUNOWk/GOaikAUCFfroxBXZ7LFLYJLV1g5r1jDnB/WyH+xRSt6bCXhDobmiR3/xM3mSO
zW1kVdu+y7gBfTFaAvsN/9uIRUprr9xwG99ZAhEOWfqihRnewA535omYAmk4Fj6nnaxRdI+oLwtq
d264qcCP25gc8EmMKRk7zlWCRtENBa7c70N5CVsDXanpfB1hmiewzX0BOfctw180J/D5VDnLOjbO
SrvRjzN0dMwFcNJJ8Iuvy1x59CcN228y385Fca7NwVclV3Zd2k2bzHekZZuoFyFnW2HHapjGIY1D
nfhUlDBgO/R7KCVLMbGtHLdsHT4Bx2K/N9La8/X6fFass1ZVdlGnbMOwvaoD/A7yAC971i/GTjor
Mt5llFSLsg2BV8+SvqCmXwDC7TwCkhb/bvnft3x26L/f8g/1Qx5QXX8vI7ff/vuf7/Q0sa//2PKB
FZJOpvLbLBEXLerCH1u+Yv/BJmCo7O62YegiqerHlq/9QWfeRMGG/AdhOZSln1u+9geadVPo1kmk
opX+j1zCFGtv9nwwYxq/H7wz2WqaIqzKLzsjlYnNYgBkxsFdCZfanCZwbjrHP5PGSj7LrQZPvyRP
3Rc9DneRP93bAUnGEPMfNax5C3Tog4ViN8WJWWlyjLy2wpweRzGSXTMsPqEDNyec93ITQEaZMAph
e1BZtLX6QU/96InMDx/eTW4IjggUnhyrVc76SKJVFFdLSPgqAeu13q+qOmaOT3YkmbYJNGCS1zkl
RKWJ9ASWIcVe/SzZAc5gjJ6uEfk9xiYWEVvBgyhwA5IWOys0FIHbTBj+IeLv0k4BIlycNYa8n+fh
UtHm87B3RNfrXC/SrRKE2zHyZ88wa3QtimR4RUM+tdroIRlU5loupWPMM39V+vZZW4ZsZgHHkMBp
lPO8KWpPlYZkOZkgK2qYCkAgu8PYNgcpGZE6BBijJ53TAxzmJX5Gk1AEs8XdEmlT/Zxo7XWUytck
oWUGyfZtfpSqZN5rOmmIVbkKSjO8KyJ24tb2/MbPmOahQtYKSERg9z21BF+sFrZLtCinBS27lkxj
WJU2u4NVMaCv62xN7KKzKdFsURRhhwZxvVCVPDz0AUL8CDI2eKJm1Y5ScWUOVCNIvclzrV3N6XK3
VBUviqS9MmurHuo16dilftuQR8MShjqGdW0lp9QcHPS8sZtBDpdWeW/4HVwuRXKgc+S4ArxmquP1
i0fx+L3r8YGJB/cEFkSayiS9ceC2TxlIL1p+sRwOcuKAYVLlkDD1dFAfwonPCaJ0/ud08N+Wmehi
/v36d0y77KH56/onfurH+qfSMkOMiO5WdMUwNP9a/whsQadLr4ruPyukYNP9UjHq/BWAGQB0f66a
v0oeOmwqRcpPvPw/aJnRnH2z/hm4dWikiY4ZOhX8WK/XPz0McpS3k3IwyKhMNpT/Kuf/KtnHfurp
Aqkazp95tly1atP1EDifJRgAbhaSl1kEa8dPqWQoLZjAs3wW9aXZF/jcZMBGgWdm41Ybm8XcwTyS
7osg2PnBCh3VQYmdYF9Eje2ZhiC/KvPoJo05sFDN3zjdxzxJHEWRet0jGsZGokntSh/a+7nA4Myx
bKEZ/ZFzobasMO7x9/LZ3JOVif1xr/M4AMhJP+US1PSslp+isnkeZvWbLaHSL7ok9Gp1vM7scaBz
hpZ/kj7XM166kciKGDonAibnIjen6UwiqJA9Qoi26FqNPisYBlr+0DzzFJP8MeM37ZUFug2VBNuI
9osPpC0La5hrhfYoJ3ecEsPGpOVFL9LArGSKsaxvtfWCWm/SPSNB1sLmoGnYY9Aeb+tGa50HJdLB
qEQj/UmMkiG2UzgnjFkqShYJZ7qgoLB1UJeeyCiqna443SZbTe1r/JqCoTIJmgoGB1y0c1pf9gWs
FRykFeN7+CsqvTtAFyzBoaCzZILTklXmXTFDbuE0Oyx1QXMpigZPhCC8jIL14gvqiyn4L4jPdfRV
MGHg7HuQposd/EvKAKJ09wRWxAtg+M0uRMOxHgVhJkde3SwqwZ2RQs1fA694VgWTpgqrzqsEp0YB
WNO3fH0IgqslAbX4PEmociNBuNFl88kRzJuOcJ5lLjg4lLjbVIaMg18+PdpakCyVEzdHooZw8Fqt
dUHVSfrGWJPh/ZQJ4g5RyMjIBYXHEjwePjkk4oLRY0MfBXENtwfAP5+NYPnkguqjnQA/imD9ZIL6
U05M8QtsN24jwEKtLdVng+AEBQPEICdESIAKTVuXpFgv+fJ0OATGc4QVDxFliCJL19bsIoCIZMEk
ip0yxGdl61/ljFIV9S9aPkExooLCyl/qPWg/ATmKBe8ozjvIR4KBVJMNshlmiHbLELGWTJIavCRS
w+v4OcW5vbFR718WCt5uBpANIYyzXJ9pVPK1PN6kkhIsUjkFQqE5yapIq08YswJPnn00u0CTl02I
Vbtv7qWg+pwWORZX22GfzihA+owmYyxDjrKm+JOSF8e4aqIvE3E8+EWC8HzqbBSjJbCDGexj3mJx
M5Hqo3yutk5nPoVp/4Wjz2oIbKxkjvQ8xK0IoI7uaS7vUj29E2CqNVm5ppdmtVhEnD0fxbYj27Hg
OZXEHtpm9g2UzmOlhLsSGLWb18UFs7ZH1XQ+96kEG6Iej+0M7N2u600xN9fN7NxWoekv5RaYW9XV
tMKnCEhTNK01le4ADmQaC0iMBnbm2g6vAtzVrhXg7+pSrToz5PmBYlvws9RNVIS7xPIPtjbspVEj
8QbfAU8KrVZ6ulh8ohSZHPj5r7FNC8BM2ngTaH1EkClcvRGg0468IexAZtGA2cu+Oo3BmiV3+dLU
qmMxSNc0LkRccRLtgrzjUS4CmuvTYPOSqM8nCelhObIm+cUQXGbwwSnnG+nyhIKaZd+nlOKireBt
x37krGWinK7SoC4XtkoUAStMB6/GRAlsjM661JVpOcehLaSTKSuMNa0FVHTpN5EG6jrTl84ckz9d
G88cI+dFos9bAhMOlOZnmRafM5kVuQGyutYAAC81ufRXBPER0QoubU26FCJLOtQb1RyNRUy/Iwoh
X/pRpK5VTTgGY15tmPHUqgOS9zRHMM8BWziQWKVkwdUect6pUfeG8HEHbhcr5lqKabfEGV7xCjQJ
rg5wXixTnftvqXcq9cTx4++POldR/1Q30bd3qj3xgz9OOwqRxZh2mQTKKDWE+ehnsccUkA4uJxpK
LQQPL/q7mDmoC6noGA+SXfy62GPgy6iRE75wOf2zdLqT+OXleNBC5sVRBy2EaXIOeKvBCtUcOWin
qfu6qKrSOpfSUxotp5UmkxeOHicHp1O1ZMHqoIB/Grp5pUyTYrlTy7QKZXV66AoSacnFkbaGkQNw
SSSQ1GqTn9HVyK4nLR8O3aiX5yJ86LEN2mGnZkNyrSsDDsoidnKvHcmPUSN9U+i2v1LiGuG2hc3j
SyizkyPHJ4GuHkpXd9J1oioEfKQ5ADvKi2dJi+YrtTGjDs0sw8p8UohssR2qCrNaEL+jumy7Gfgk
5khZ1vk3KmeNqw42ZXgtx0YSNAS8K9W8ncsQDHBN+a2xRMKvV7lgJ/coonuK9jpcsMAU0wNi5f6y
rhWbnhdDSJqjM8LyCyTJ8TIzoiq+leLZEO3SxLKYK5lVTTKIRkqE0SM1IShd2+o94L6ZUyhBb7Tl
ELnabQltRJS8cl87xlkvqmH/VBhnokbGwEa5LFWidJ6iXNOAKTTxdgo5Yi+KWb+alaa3NqqowAtK
8ZZIl11pIurdGzhmtnZlR/3VHNvKaqqNnEibkBtz2GdOOuXS90Lr3+JH9Er+fkX4nqFV5w/1t3et
XOKnXywLiibiJYXU8pR79XJdsKl/TF0WsxfGOz+LIM34A60X4gAyJd+mVmp/2ESc2xZnbSorENr/
RDeAHOpNEQTpQuB1LBCbBogeWfz9i1rZGQ2JDFkc2VJiqyBfuF9tHOJbU9zD/el2bqsWTaU5Sdzm
dDW55f2hauLbKU4YXJweilw8H3kF2gKKl3huxtMj1H1/ngJiIHi6xrSPedaq70+expC+conP5pHk
4a95PtvTw2q3rcAKA1pxc8nCfDAHc3yTFWRN6XRNVS9NZIw6CrpFZuJxuCrLlC4K3SIg9xHeC8Iy
PuUKkneXUKH+U0kbmdG1Uc6Tp+ezknpSU+UeNG37qCV9ea9lVXwvGaWxIUKEiF6lT/2DJSuB7aZ2
HO3nhqmQl/lzBpY7Mn3PKdRtHsiZx57f7WXJyi4sM++vMtpeyxqPmQ4oN+83neQbIBcq+4vKgWhm
huQUs9vTnR9dy44My4vRoF9Jil3M8OmyaJPW1vyYqZK2CAN9anJvkiujBhTgGHHpu7rWJcXW7rV2
bdR8Ic2ChL7+vo1qReGgT82kx/il8iVLH6sVK08vIp2Bp0IuBe7GmRifSB2sLbmdL5u6JzHEyZtL
h7ySVUw8Oz0ouls3MBEuHK0p6aCfokdyKejBkDZiMhOc4knABhFVYovUkoQ23c3o0N/msNIB4hxy
OUo3spZjIJFs6Gvbiqn0CE0ch9cT4aPBk0OU6xqxgr9KoxAca+SoIca3huOfVFsLEp2bO6jmZX0g
G9MhSqn99yzzvQGtcbr4eOVa0bp+jJrH9wIA+eEfCxceVObKdK7lU+rGG5qXgpX0TzDwiRr8o3sN
JwXrnkBB/vypH90bTkH4rw1w/xCDT/jLf9C9edu7BjLGuJzVT0QIoB/khb9ctoyUnOrYr+fD3H6u
bJ/syj/vkL8lAYnf8OvEJGSwOr8DpSUmW9ZFXbyCFwvjXPpmOZaacoAKiKEPICHWTAN3xubFF/BO
s/L1O/nrdTg4vrwODp6yqiODLpSwdtfng/Xt4wsIGumH7+TNbD+giwAZineijhac9FuLIlKaPEfi
yNcvac95TX9fdpsuOrbQQ5ToiUU1wDtWXLb5dcB5rMWpaARLG9tToF928fWQhfhV/iTO/u1HLuQM
H75SOoYvPwstknzcI+Kz0Ej35WhVfu56CmdFPww4LiFUuNH0bEn06fijbUa/kaOeMifefumYLgyB
YsUwJLBBL18AIHml7WVrOkx9jLNZcer0PNFVjVqz1KvSc2I577bQFXf1CMSzG66UFHvjkBeY72Vp
9sDh00YpOU6u2kDeDU5LUyTNwNBou8GXGyD2UqzcjloWr7XEiW36CnDjYcrVZr0t6dmpfbXC1bhg
IrwO50NvwoiDOSnO3p05r+vROWYQNud45Xd3Iug5aG6awN5rWJdqjLM9LW4Vih2UK8b0lI5xuUjw
CpV0QkzqyZljajQpANq6c0vOllA/p+quiTNEEegfhvxMafVLFGExcK0+V4vbzEjdUpu1ZeHctLq5
QNyGsp7i04gCfQH4nsQBm9q4SNJ7BhhultHsdwwIedjyvpOt/vYWOWlpf31D6BxfP/j6m8eFZPom
xjw9H+S1tvG383n7WVvb2/rQuMp5u6m8emkvHG9aad6u3qEDW4z30hYC/lpem/toFX+Pn/nbFyQe
nl+v56+PL4e4l3eMnqadlYlbtki2BcmVw6JuXLQg8vcN62+vI279j67zZsGzo2xOQ+ILDxKCs5vx
WyUMuR7tVs4jH68XJ8LU20u9fAjeHgl5XbXmROohJD71mIwLMpfRLg4NxwovOFAOfXzB91ZA5qSc
Q9HJUqG++UozWuWWlWrqYYgbN5+/9tLx4wu8twC+vMCbz46QUE5jgaoemn4hWuuD5AGc+c27+N1F
3qyyzuiYMy4D9eD0Z3O1a80b1fzy8ft4b0t6+T7eLI8TezVjO0M9oBT3xpT2t3nlxBdOOH5/L/+/
67p99FgXTfHc/m/xmx+LcqqjIGz/z+v/bL7/N/w9IZx79R/4hBFhX3ZP9XT11HQpP/r9gRD/8n/6
l3/O4G/w/v73Pw/fcCstoqato8dW5TRzusKv+bwQvn18PNoVDxXuxPd/9OfhSP7DUSwEx6Kt83q0
z2jLAI1BQccZ9jte7sfhCNQpDSDVosqSVbKXeLB+HY6Ahv/5y07dox+fxPH7k8mH+LdLBSSvV4uF
EIPL9DpNE/+QJnSFb7YxjH8ZBIapPkwQDtAFqZ3CtpTDq96alAeHSGcpDK3wwjTI85hN47JCB0Oh
JV9pvn6V1N1TwTTfHcdwizf+LLSUFTDQc9LFPamfd2lOvlKukPKOUrDXR+SA2rkMXsrVuuyCFtnK
JyC9CaVVMUmXZhzeWlP+2RhbD/z4k81khbYKOKp8m3RklUG4oc2pbQ07/FRP8MR0+XJK0otuihYE
4VyMVk8QsTmS9zlT+CgefNVbo0LOyjtapvXw1YnavU8jn9z4L1qQrvu23eW+uYKEc9br1YUfhhdO
wXwA2F0Qlhcd9nitqPb1qH6GaLsJFXKapsmVkuIQK/EFp7Il4ROLqpkXodzfO1FzDMNuHwyT1zO1
0QfCVVIT6jL9aOe5qR0hUh86L+y63ezYD6D+XRiPn+O430qNsyCE4SoMZlq18SIrSUMoa7IlAMv5
Y3QIDGuDRH+hxOat0WSbeWquMrv9mqvjhWTnF/Srznsz28Av2JH1s+kqHOtB+WzF5QWHmOUMe0sL
9CsrtJBUwgRorZzOezrsk86SSGMgltVPHrRCv3JK0wvRcrhsW4dOas8DNVvMQb+tcYk3lnQVO+NW
kf1PupBGOxqZi5HiVmG09JkWMp6RK2hh1T6yUxAkQzVeplPnL4rIfLB6ArHLaiTVwei8YCw/qyqz
nWwYv0KJc0QGwv9l7zx2JEe2bPsr7wdYoBZTkq5VaDUhUlJrza/vZVE3q6OisiPQuD14gzspoJDI
pDudNDt2zt5rh3K9+jOMI2jtJtnSE4x2Xdk0yUVfFjTQiW4W2gabJTFFIND8YWp3hlTKm7LuM3GY
vEnLrtoXgBq8tkZmoBDteJqMZfCHGc16NqHmc2jpoZlbkhtVUekjQuJA/LxNCqSUgHWgF8ToWAqY
gR6JXUAOKguxCVB8r7dGfRsMaMFbc76N9bn2EWAhjdDMdL30OK0poxgQhu293XQovE0KtiQDc2rP
lb8Q2mEA7XYk9U4C9F7amo9W9rKoxlpv0jOq+dEXYRKIX37Ei36i3f8o0eRMTk3fwZaZdUaBFVo6
zQxXcV5eq2X+AMYm9quh7dwAbKmHpA+Pe6V/DUPIMHIjKPBtDb9ed87MPQHsTMl3R8Iihr0794YB
HkGq2j/CynkpZvUej9EPPj+Du1JuUbtrma9VkGSYOlQ+kWmRS2hG7A6VgjKk8TU7vgxRvrfz8UGf
5p+9JRNDZO/1MorXk9Sv2BAe4kVdOXlWn2caQ+t8YMSo9pJ5KrPglogpLHd4D1ZqNID70WFO4mV6
Gumd+m2df5dKu3TlCWC/xUB+naTTLpCyTSITW+wsA1PvCN1jN11i2frKzOPrpA9Ebk05z61lbjUT
9IQVZdvQbiQm9SrCd2YqtaZuglJ96mpGiSxTsN+NXRz2LUV0/DSHiG8dSf8WB3UOZydxQdF9lfrG
b1X6rlMg+3URPGohYMcZMsSi9rKnQzXWekn18NeAGW6qu4hQcF9OsE9PJr/7FARPGhNZ0uEDi+dL
W9ephGzaGXlF43TGcsJrCbyIMBNN+5nLKFeHIBQqXUryNAb1m9e7OF5MPtuwR114mXKGafPSM5PT
dmMkoxscHgpZ3nejvbiAamHSSDPZJ/J0TCP5dgy7g1FEd8psQS5KTL+AzOLa+qj55iQd495W6Jyn
90TNMXzKK8vPrCrrb6MoLdbN2IaRJ5XgPgf0wZ6EfXankxjGvBKEn0xmnbwgB5gL0rmKNi9J3FNR
fM/XleCIWcqUXcfEL/xZj/5fFyObH6Vwc7V/Lz7+v65FqN8+rkWOfdz+v8vXuK1+16zhr/+qR14z
V1XsAA56J8cWzYpf0yfqEY2ZFJUHHHWhtXnbZabDTPuGP7CZFGNB+6se0f+wqV5wJQhj5qtd4V0B
8lFB8vcCX5QjRCzzH9JIZIVp1rsDRaMiI4MNEF5CJGqtCnfoM0aDbop/482hhTA/G748nWxKHyhn
Qmz09hyWK6XsVNk8ncPU2hVR76wnVU2atZVPp0ljno7pnPRgnl9yhKUKl4zS2cat2lUxHNDOMU+E
Yjgtfd2gPvWNZNeIpTWzPglk/LTSXzOLZcxeC0poeVVWo1xtUyBRq4ZyZTOJpGNyh1RSIU1lw/vF
TicSkTWzQkgxmFeJSEqG8gcDSqQnx1KIFShsykTaFK8By0WzRD9zOtZrTUF2mHg2IowVYxtdTUhX
5f9WSqXnELf1XNZuycMgvp79tr7umDqD+VvWCwGDrjRFT1qlHKIpalw5YwVKHaQxQ70ZII6Ovam4
Vied+2h4MFLtrnba2yZdjmExPJhGXtBWIYkujfVj3egr4pSOEXZTBVfwDhl07IeTeRiZvVFj2uDV
SlT0NP1l9oylnPdk2z9XSQIwJ7NMVy7rSxObyZZ9/thP8tfITOdDVIHL0snadO1MQQxBJszsEN5c
mogaOHfSY9JyZIeTsUGftRzquToMgbSZ8hQqZxxu8sxofOyCXrhUq3qMT/koGkaaDhA0qjbL0uyC
Jr6JjJp9pCCdBMgSBY4g47bKrmgnclKi/LZsukOkMTWXQBx9m4eU/bAJR4988fVU8ahOSryC1cs4
zi4AiwS7qapPo050rgLmx02RFDLBHcBsJcatoc+lq016v20LBNhF4CCFCnQU8HN3qs1BQhja7IZ0
mjdlJv/Qzf470k7SwDIzP2gODmI3So34uirs3FcmPTY8Be09pxBp76SJsmlt+VsqRbvFlM6dYt13
kbTJImKIbdTuQWp7vaYc8ThcDwWC8gRJVhOsWkXycnNMt2OmbuyxU4GhceONwtq28vCoCEF+ZYQ+
8YsvTHJOpdxpbtxMezqsVwv/6KAUpxwZ/qITX1ZJX9RW+SFJ067Ul6MWSFvHepiCl9Je9lgb7bUB
B6+xjPsaZ5DYrAeqmb6zu4Oep0dDna/CIFE8TU3RbKTOM8aAZw2vDVNf5ejoReiN+gVeJbC2yIsW
ZCIGWTDAee/sqb3X04EARxoSRgQScxAGt5iiPR/iQ0f7hTMZOt1Beaik6M6283ui4+A4j2tRKxOK
s68daT+R3kl8q7mvE2eTmRlbq4UhsFTIQ+/17kYfkz3f72Ak8gu7PWI8jcavUzbRWtUqbIn6lG4n
KVefy9G2nlq7jBvMkXMABjhIb6bAgvs2ZQoCsgDSWdxFfi2llGwi1BV3PQYLlYy6kdfiOFRGfO71
Be9o1gzEK/SVKd4wxDx4JR1REtaB/XUhOhnQsPkgUZ2shtbkOFPhPcoIROh0p+VhJoJzmPvsMNuC
v60aN50M/kKrx9oPh8p2FSU5DOV8m1fp6MLqqyjwWvwdjv5kmrcJv7xf99LiW1Nb7G1ONqeANLbV
tLDTp2b5VQeagG1mjnjlHH4j406GhsV9nHHIzuExyZUFnlhwnXbl135yvAS1oJ1gGgMYeCvct5pW
vbR9yqAu2Q5J9xMow4Ww+mQdBrCBMLg8q0m/Zsr9wpHR7e1WdXWlFqNGjO5dS9JTYs3HNjD8eY5J
ALBWSa1+z81u4syBmKYYngd0dYbeVURA9C9tp6+rhp85HYm8th6Von0weg6hSpm7zpTcTtl8LJxx
29UE1klj8hhG8y4eeUUn0EhBvglz2t1yZt503XIxWvN5ioxzmeierQ+P49LgWyv3sbUM60HndDPJ
jcevsSrM9GWpBbMlMTe0StEOZhxVOzvehe0Urcg0Im/WMG8RTnMHMyygYWHdYbradxr0VtBPgNwj
Tmy0EyXseBSE3bZMwkcDqperyc3WEEkd+owMbDppBd8+j6yj3VvbJg33Smc8O9WAWqH0Kju94Gff
pjnCKETicJXTLxK5OJCut32GFRTC4he5S/fcaz9eJrw3qrPX+/m6rWQ+po6xWJa2jWG+BHK1Gzjh
691wS2CIj9ZkWbfoIt08jq5kffpJEJUh8M0vsg6dXV3iEykmmzqo7/KiQyxVlFtwnPUWAtx8VBTQ
36p67Jv4xSQAWW44GKhq2a2LXFbcUtfHK1mF+Az6XVuldvNUyFG4lmT7QrYVIVVFXR9axSK+KZry
NcLUb3GGyw6EjfQ0VibPC6Pe1YwEy9X0OPsOMNTyVaJfTH+c1dOIffvnm/rsX32YD2XnDhoeR0Vf
Q2+Hbo7oyryZGCmpoeR5EUjnJLnHspg6X3Vj8+9dQlRaby4x8xSbac8l5BpjAyf46gLw5uNrvOsy
UkmJr2EKMygpGIb27muoaj/noxOHF4LvWRyZsB2n6Q7a58eXeccaeb2MUGAzPTFVoX/4+1cJy2TW
rHQIL31OjibnzlblPazve/1qHBTXbDn4GH+Syf5zlBAdvg+PEhAv3C/N1y/Nl382NsVffnOQgASl
IxdDhP+nJuWvg4SMjI2oJhPXEgBsQcX+1dg0/uB1RZtPvpJNd1O4h381NrU/hPAMwa9GGxId2/8K
c/GPgwTSf0E/5rFhVmC+fzS1SJHGjtrgHMEmbc/T9PzmtvzmDdbfzT44qmAw0DWas5DXHKIT3x1V
+qDVu8CY+nO/GCLr7idzv3MWJDdG0/3ENEh2chP7uY7aVZGKnWo526ZOsO1VRCBKJiDXUdsUVrOV
Wvku6aO13lbfpQx7jOocOedPXtuxBS9RdlEGxUiP2tDV2iWEgovdOiZcgJvoGVGdM8Eq54XkCdnY
TWKxIteNeGexfiHJs3xdLGq1mpH6LhY6HVIyY2oWv0Qsg06qf+vFwkilGNK6iOoDyfKlGyr2xaos
aZWxoiK60VZIhuj5iOU2mUYF1jBLsCIW47kpDgQvvdD0pXID6SmW7VEs4BkreSGW9Ia1PWCN11jr
7SjUiJktXiSxDSjsB3kqXTqxQbT5Au8DInBYdbcWk0aJvUSrnZeUvaWo+n0nNhuDXWdK7T0eT8bM
S+MjPN/XlvUlUIYReyniYeK8+zT+0omtrBWCcva2LEwuEnsdLAQMnuozvF2CBaxtXhtHXWyOjTqc
MogZJrtmU9VbECEW+4vzkIiNdUmzq0ZstS17bsfeS4NPKIuTvS7pd53YnlWxUWuLfhuLrTsSm3jP
bj6Lbd0QG3zATi+LLb9k7++pAUZqAX4L4m8LjnO0tfZATT1o0Y86pOWROsKknmipKzhn3USi0Oip
OCx9OJG5vSsxQoRT8hgNNOZyapRsGI+Rmt2aonhB8feoUs0oVDVm0K9Lqhx7MdbS1LyQwkkaceds
JK19Lvny6pxP2FOX7zjlVxiTPVzYvpZOx2pk9tzXsG71GWdy91pwgewNqcB4C9bY+J7DQFA2iClb
S33PY1P/nKnebMzAOtVc38jPEtVda0EsSan3yEzzZCP7uog6UBSEEZVhmgjkpigWdcm6i6ge6XBS
Rsb4X+UczbeCjEsSxaa9WAb54RSgcWwuxIQqg0+ZlFCj9qJYldQGcZcoYJdkvJWpaKWe0lYVRa5R
YwLk8HsziQK4F6XwEMrC+a61HKEplFU9DlYjtXPYUUTHVNOyKKsdUWA3otSOXqvu4bUCz1+r8XyW
aJQn8RCfJ1Gu15WJVJZb4WppFXoE9Yiyvox8PbII1+gledUtWLILcRAobZN4wryXD5UpsMizioqi
OXQ0Miu9os+AVNZVNOGFU+t2yzkyWYVxfyQWgAjWtCo2CrnIpEk6q2VSFbfXs2pVdnWJUSXOLhaC
XMDBUnu9DALLHVTfjGV+aALti5XWW9a3UxIpuecobNxzJh0D+uCiWw7f2zQmryOX7rY0ekl47oPs
sQd2PA5wXjBMXXSgsKwsXpPoPojP3i+r4mDVFguiwoe2xuuiJ20AOx9DlHkf1sEWc8AqAZ9SUS3g
0dlERnSSM/kRpBhNUyGECLJNMaV4SQMDkX7njXZgIjWAZhzosfW1GumsAooAgK7XY36XKjlBcLG2
0eAgeNpS2whZF84PcdycFjs9ayr9F6e9VmqzJQWBUxf4XBixhs+St1NJO1qFGpqKbB7uafjc5Wru
9XjZM78Fxryaxy53WHP6/Sib5UtBfC3rr/SzbiPZn3scn1xO95uKoC7I3g1q3NQaOLpEwwZ67rxh
6Y8eg5orqH12V+Qahn12z32Pn3GfJeG5gLboZYi/sW2gbtNL686oSwodPRF8HrXFMKEHAXi1+s4M
5ju7MJanJSjIdOjLdm2Qw+Ra47TuONRtKnkoNuVcl2Q1AQFD/98/NTEWy8me48XL4jFiV4q6rc70
wk1HbI+E2/hzXj6bQ7UriOyZrBkTfXmRZ2uf1vO9HCWrgeBUF7r7fZ+pd3ZfO4dpnoZdKSWNXwbZ
7FV9AhBYlp81dFg+7Y36qTcrxa9KLGFpxINuAUV3pUB7Uienuw1UY1rbPZq9pJfn1cfb87sR+6uv
E+Ir+jGLfA8k838vGcGyY44Ok+LcCfLUtOwMc7wem3b98WXeC6b+dR1SRgws0rz274uAzlryNIyK
c55lJwgl96xKVzY8dJZLNN6zww8wZ9uBpIHMTretGmEcVkl0Kg6sVEeUL25CZhPsixuzlldaRPCW
g8onDH4Q8kgDnVdAX+yzKYeUa3/Vdb8pYH57h7ALWLD0DDiBTMDfng+MvC/jzkmL84gNOpwhvue4
0z7R4Diil/r3Xqv150kHmwMwCuvd78AxvprztB/OFamALhCTHf0TnR5gzb4BvlhQtJ+kKiuvAWTS
25N3oz0iYZorFipNvl6SHAT20l+jSnNuC3alvhzOkkxXUSdV2jMgYgiL5TmW4v0UMB0ZVd4bM+dA
MjvGcmMo2Ze0yzzAEvFmGekytIq5iohbXKWd9k1CMYsrHD66VpuYrB2g8jVWs6hJXbYiSpvI3GGC
/oEr7ctkYaozSH2crOw0L9bgWtYsbWVlTE7Yh3N3mfqIuokpXOQkFlSO8CHolfyuHumbOUoIKb8C
C0Ia1tZUxtVQssUpQKTmxCI+WFYvhmwV/rQgmFK07BjIX3p93RvWjnXx2ZYybGSjsp0T/TkDXY63
D7NZBZBFo0206JQeE6+Zb4VMyuk7bZuOBIJcmfZozL6ksRp9mzNjI5sMsqwsOqklmi+trdexBowF
OMpNbprZ2cE9pZjLdKit9hMFFBPS3zwPvJDCcy2EB4KB8PapwzBfFvxZd7YU9YvmtEzmyPg+m4RI
EsYbvYQtohuoLJ5iTr4dZ43LinriruCqi1LMDGF76qTFxaZ6Mkr7SdOLaN3mRr3ue1nfoXgh4i2m
GTrYg72SSz3fqmzq/qjEtc/Yj3qEhUjOywKXaX0LrmvylKil+Tcy8MNwITJe12a+IGcxvzhCPTMo
peU1uXpvqjO184yptlN8jGgIyEgEYEpnPuGG3Y2B+h1ccgoUnWXAybZmMd0FTnK0hsarS+0WDy9P
CPa4Wb01huGUJtFtHRs3ueVszLl7IkZUd6kb5ZVZ99SCQOfanhmwLcyTWiL5MoYYH+/nF4lnwqsc
7VnRpCclGmq/7hDdRTDzh4UkNmkqSb1oNjKoBacYcPczuo4GX0+Z1dn2eLDILx2VASFcViE77+40
IeO2p12LmwVX2rcaq0lBhrcx8zn7wk+H9FJG09EqzPVI4HVkxYkXFwSpOvF1WtE0n+1lVbYEQ2QB
sgUKmtIMOZfwMg6Scz3W3c/YkgJ8kIxH+2TddX0KpTjy1bDzFMU8mq22gfjMr0RO9QqiHL1DKtS0
j46SEqxSZXwsCYUOpfjKiAjWjoj7TMmRZxcnTBYPJ9koFYFfACTICNR9RWHXzIJx3bG9F01eET1Y
J36WSptktA8LtHHLwQMwKvTxW5lFdyHfNkFsYoz2FTiILYR8nKr1EaQ+VW+XSZesEhLIzNrr4Xgg
27QGAyjiuysEoKOMH6/C3thySshMsPUg1noL1tR4ZRorKx2pY875tDbndYl0wBoeK1liWiufkNY0
qynQj0k0tu4QBMGhVwfLa0m1JiYgKDbjsPgVdcO2nGHSzSb9u4EqxCqBMZAVvBqCRvlka/vkTX1V
V77pH6mRM2O4Tfuzyb4/tCdSJ7xpEF3WS9qcIF58IooTTZz3O8WblUH45d6uDGoUFZwuWBnK8odi
fR+mm8E5FuETMotPNr5/tpOQo+uGroIOgGX2nic8th0kDnkgK1KZw1UVT60XB+qd0YblLipRpabT
cKgqqBOlIisnu7YN10xKicME5uGRf5cIR+kn/vlrYpeZbGn9gxSXl1K2bjPKN049XteqtxNNXL/o
wnXexS9Foj9KUVbdhD2jCQMczyY3ejE7cCksVrMiE+UYBJui06xHOqu31QKXXzP2vdbtYk09LOG8
MyrnMqYQ/dm2LQmak1rwMkn4xG1vqpTHvGpABga7sSINPQMd0hn5l0WeDS8bw+d6cppHVUTdq60W
fnJX/95vwbNEwNPbmypahW8el9Rk1tUE9nS2p5do+TrbnyQFfPbvv9s4ZCmjRg7TGVTbbZVAodLu
P3ksfvP8vfkCr1PjN18AaWkqp2o4nw31KibQk9skR/OfAoX/UW/3z4apuEs2Y3JGu0L79/e7NFkt
zWSdb+Gontp968acmuQ+nqxPfg3178+4aE4ZGr4vha0WZxiV6d8vNCcx5t+lUs+UMd/Y1Py7bB34
0gojs/foFu7jzvSG49eb2IseptUXut9feaPbrbb7+K6qogX8wWv9+kHf3FZniJ3KCVlGujW8Sw/z
/W2/ya/B5q0EsGetbLjPa8Vj/uxGKwf50ko/F98+/hTG7z7Fmx/XeNdBzojTsNWG+/407dSV5XZr
58pyLy0yNX/zaHhHkno2zjlaT9vi1tjeBT70ui3rnrtsSriaPq0z3/GlY78tNu2FRBYiNvyH0u3P
sjdvjJ2zKw/jtrnP17cff/R36KV/vljvKmhJbeOsIqXpbLjMX9ftj2pd3Sl+7SV+4Ed+vCrW+b7c
XH07rvodFN3JS/aIlPbJGXu3F6zgHn0PvIePP9Wru+H9z/rmhr7n5sSIdxrL5FNFO8eNvGWbb4K7
gqBYlEsuA1u38ZhUbuxzvVVfaKStPr6+eHz/efn/fo/erTYsNdLcVkg45KVcWeN4WEhCG3q5/GRT
EqvKR9d5t+rYsa0Nw5LNZ2pqdxi/ydN2NL/O4FTkjlbU+uNv9fs17q9v9f4wKTH70ow66c8Ykzn5
3VTh9b93gXdnPm2yM9PMOUClxkFN6AM6lv/xFT75YV7lxm9edymv7MKaedHK6tySp1ypkP7sT36V
z+7Tu8WtVYhKHqykO0/iVwHQzJDW+/e+x7sHrAeB0aNbm8/jMHmxeYYL6gFV//ginzxd1rtVyQxC
aaY5x24wmZ7uFKs06y6a1ntEIpO2op4HmFgfX/K3v4/xKkgH9gM+7u/7Alx6Lajirj/r+c8mWada
RJNv8/E1fvvzvLnGu5cmg2om1ZE+nUEv0r+/zvNPugqfXeDdkrik+aQlMLnPMos20/9Uyz65Ta/7
40cvvthQ3jzHUczQJ8h4jjkbuLUX7gmtO3FEwCnkRSsmkW5++PiuiczND9ca8a3fXBJ7L/wcNWKP
eqIxXLCqnkKu7Y5f0OrsBvcKoB5/4Bqr3FNc+1pyb7qV2NWvnusrbc+pHbLHCt7ztvCizWcf77cb
+dvS5f2TEzejrAS8dMpFbOSSCyRB3xWK56Yb3X8s3D2QusNPhFu629zPBySqn6xeQAs/vkPvfvdB
as2odmZqCX/w4ZoTv2i6ziHzb5yzedQ2vf+srgO3oGO7Rl+++Tzw5LOP8AoKe/MjSVAz9WKsujPw
THfy6Wwm3401ILtD/2PaVqv8aG2kjfQzfNa8aZNegGn++OQ5YeT60XNivXtO0kHL9bbg0WzW07p2
FTcWVd0u9e6GHYh+BNnucu5y91HG0Zavq4111buN36+iHZDdl+yTlfL1YPaPV+W/X3dDfN43t8SW
HGZDBUtKvdI35oYUuGmNvvAYHxT3G/GFa4jnu2pLU+84edb9Ch8jP1G3Sde3sS+KhH8VB/8Z3Ws8
8H+1eP+BFheoidMX4K//HNuLv/hrbI9ZWyY/xTQx+wj+DH/019hehSEO68ogaoKW9lv9r/UHJAmV
qb3wu0Ic5W/9Gttbf+DwZl6BBOT/xKxNU9BGN2AhLlDfMybod/V1bs7jRS6vGpIa6Yz6b27K1Z8P
5lvpDZ/07euDWRv9MHYng2/I3F5/tztBy0q13mJI2eoJmqwHSb44xnWrb5UANckZSPfH10O48MkV
xSd684Kok93EzN37S1JxVrdnQdue21LN3TIsW6YSpb0fOqOi02IEbmuuzQR8XR3Qzl51eYd8LSzM
lwnv+c7UImYCdUV7qy01V7Ojo1FC8LPV1Ksa+fsgpT+dSXoSATClQrqfVeqke4bMpAp6v4zsI3vV
MPUnwS0Otzp7f0vG59rgDAkoNC43wTzRGp3ixLWaXsNjiTiQtuOtNNpMeOIbG48XZ8/SteLhKNUB
v1ISk1doQ+uAP63PdLMZtQQBnkOiZrdlqVwNERovOqSF3KMRTMJD6TCl1KT7BraaOxQvw6JdTVa0
HaylXSldu4k7kHSVvY9iY3IjsxzXUtW0myCaT/TUllurAwMC+QPuxW0Jpmxr4rhOSLDY1mYkddfL
qwW7z5upvGQ4izuU4KRHLHA7GKX7yLXrr6lsH02Thp2eHysr3k3pCN42YLiQnufFfFQyB6ocTAkX
cOW6IUeVKJXvGWS91Wjop6nS94Gq+UNaHbtgXPX9vJu1+Epeaq8IkMhNSCDm6djbTel3Sy57oTEe
2kF+rHsVrXApWILLvZHR7A/ymSDnvrgq0m7T2+M5XdK9TBaLOzFIRj0Mv7Ce7MKFsyszhc9WbWLd
191Mbpkkh2s1r2DR92MHOEwFRglH/pjNJaMGWz1kOSaf8aJH9k3bN/T2I4Kgo4ijd5Xvgyy+6gvp
dhwK5iz8LKVgi8WOa+XddyvqF0YBybUajiunz3uOvYqPrA1f93zd9SUdA0gE5qhvxmZYy+TWd6jp
ckX2y7K8XQr9Kg/q2hsnAGpdlg430xzdQI3aNXDw7cp+IqzeY6rS3NEKxUEcNz8LbeBpcqCiMaFd
8Kzrso66efghj+Gh6E2/1pXEYwXbqbmI+dBiNPojTO/wKoqHk24k29rIN5NsrDKar/0UHNqWwGmD
UfnSAQ+WzqjafHWUdiwU17Md4paK8X1perCuHe1Bb1pP5Q2BtEhkBiml8zYdDXKLs2JdYQtytVna
p+1yB/OE+O6sw0tV3iYDfMcEMVof4HzubfWL0ydfEss+lXWGMiIZU29sm5nx05h7RjDY29dl5j+b
nhCPfbjpoVfzst+r1firf217yh/4XRRQSKJUQSf+t20PqRjYNM1AyvaavPRLrQaW2yaJkB1PfyXT
UvT+2vZMbC8ifdPEJwMZiUnW/8b28k81GbYaoG82YDiDqwmGyttNwlJCJcsaoyQ6FEGB2k0i7ELY
xSCquuoUKsyX0nWmEfmcF2qFczF6zh1rj6J9bTsdRgGIjn29SwzpskhgGxEeeBnpLUfCfHGqxs3D
LOtPtlPJvt0ihbelbjXM6Z3ZBJcExg9mvpDRW5lY11MIiZ6Q3qSSEX+ZMq4XEVKjkFaz8JL5WGOH
TUSEu5caLEqF3EVeTM7NkiC7UcLZV0jAWYISMbwIxelFPI5ETs6E99edZ/wqJvxGPxJxOsMg3w8i
XyeZV6MI3OkcncHQawgPaTwm39OrREBPLaJ6oDW+OgABfBTJNyfGoTmLaJ8+RxmekfbDmhPsMhEA
hK95VRaSvJGZIB4MQxqPQQzPPyAhydOb5D6uc1TTWUfvEV1YCSRSZAoxWdTXndnf4ZJBk5HW98KN
VNXKSJ9+POoT6R1aHQjnXtH7hcT8bNRl0pkb7mla96eqSgj8nMtsjdxmUzXG3ijUhzwZ8N8LMMkI
EmNhimtpNdPlNP4+YEsNi+W8qESC95auQWpsnrJO8oK+7AW6/NhHdoK0AsQ5nVRPWnBHlyJsqi1R
T1ddovmZau6SzrxOg5l51Ej2ubqEq1rP7fUold9qVUVWKLdENcCrraVNKefHPI8vlCUHTUNxxpni
UA88M0HfXtWx2bl2yq2R8QqsdCHMw3DRJv2mrrWTZUT4p51S8uohKbepwnywkjZNIoGAKNvTQiSW
azS4HXrbvEEFfcJvVa6amV6KnusMDVMyjrVyid1M72BFpLLlZiMWlLAFDzVF6yEpTqEevMw1IeSZ
ZG9CXGG+0ckPel2/JBr54kqW+HPdmUyJw+sQT4gyCXvyhHfW+d6YY4UNp+UetuYurDEmY10/dn17
iRncStdlaWXLj3nKiEzHHuqk1QNg3RpQMaHewnBboFzYJ53zXKbyTWc03+1q9poamPkSrqnH/Kod
iU6T1o2sHsosOsdluZ+S9kyO9tVQoPdinN2zH/fjzgyMn1hxeiqxUdM3cc/wD9rpsNyq5nIKayob
BVnOOhTVzqiZXFffYKndjKIeQooHvVa7aoznVtRLee/cF+zUCIcOjdpQfHUGhk/NDavlql9UXMn4
Q2ejv2axYzrd+apqoLuJaSYFFGxa2x1tUcGleG1KSjpLsbxgDm+XCmWcKaq+SNR/atPxouRWsXFC
hQJI1IkaBSNCinBbixpSFdVkKepKqefJKSps1YWoOnPKT5sy1NKLnyVlaS7qU0D5D0uBBkJJBdKV
GtYQ1azcBJaLPf0rUqDg6KTRKZ5slglZvsrLnJfBqpULiNQf2mJNK3kZf/QtAoDcnG7gQiMOLYYX
tI7rWpef5tg62Vm9RleAxomKGQNGqwNmDR8LsGN+OrKH2zNW2tKXq+bKiYldM5P1IsoYow7OCQEh
fmym27KYnb0lGfc2lnWujDTN0e8Ucv/Qq5VgdtFtrKopmVa1pJ4mXoMrq3RuKEi3U6bHXpExKrUy
1VWrhBN6qcGctDpUsBb+jrTVPSeuv0Q1aTXdzAzXzLIVaLefofMtJoyl7bSblHvCPqB4akiiW5fZ
V3mnkkYv8SsOCAUwDjc0P8fYG4dkE9UoVeMk42TRSd9j/jnbJtfDEAHrRniOEjWFuBYPB11SihU/
6Lw1EHxMBUPGvIr8sIwVv7eLrTMhn6NmDXdTSUCLBGCNeB2Mn8gErBe5XeIdyzH54riCQ+Lkpai+
VeNgA9GkgZdg9iQSoed0wvYbUjZyixjrN4YFy66u6Wch0EEqTRL8dNTlNvEkrd70BYFraXXGa5Tt
KmW8hN10I8/lCqnYjF3DOpS1s5UQdCMKnfv12Ks/UgfbOnFn1/hZktWSAa/8Tz3F0ZdzL121/7me
uusppehIvYehiL/1q5QirATPikwiCDZiznpUWb86CJiLOSniKyYrhKBK0eP8VUqJEEsR4CoLXBon
fP7oVyll/EHsJeI5m5YEg1Eqvv9i77yaGzfWaPuLMNXIwCsBZlKk0ii8oDQaCTk34q+/Czq2j+dc
X9/yu19crpkhFUh2f2Hvtf9BKaU5vw7ITMEXdlWDrGX+i81ZLDPwP/XbuHKJUszL7mbOKEFGHF6Q
Qphzp5J4ph4HaZPh7QpibyqDc9w4g2+qAwzror+ird/bbsBw08Ri4iKsIcPpGHXJebKxQJU0wkKk
P3vRp7jfe1Q1CuV8MGhnWNtoI4QVEnhZXYpR4PuyXgkAeXZroO5O5BqbYHH8u8q8yQxFwY0aAT+A
RACgGlN/lXynmHqtpvKxj3C2lrJFA2dZRHXJfTEWT9JVnoICTyxmHtqec59GJ1nGr23p5FAR7Wuj
m+8Z5MZ1zg9GZxJbW1xSDIbLl3xCYYnVauZpp9SrswFr1fA4aQgGQjlsDIPeSEsIVTOGOFulivOz
jqAlsC86tTJ7GIqZKV5ImnTq3BE29pNL9sptBYOsRnguwkSug2G4car+mVim90CWL0ENRaks3mHz
0RGlTbjuClJgWju/QpjYLfkIRhK+kobbr6vMQaNlpdlqqMr3QXXPEIOln080vtVXhqWRu5u4RklF
dX+SLXJ/I0AekvlzXDWbiQmBaIZD6Lq7xdM4zT0c+eQD3taDjg0YxMdzHs4gGGy+SV4kd4GVD4NN
oLRIagrs2rq1ULlE7viZJW7pY0akSAqE1zUJQQ5CezJC886QU0DBkT4YofbZaVa/n4ifWWmIgzcQ
N59zBU9vGWHwMK1NJ3FokrOZbJHVvTCIIVKz6m60yBQwHOwM7R9JccJQVtacboSN2hDL+raWEeYL
st1XXcWrxqmP1Nq04GHE+qrGOGvFLaOQtjrGQV4fFv0pVhPk5+Yw39kI/IbC3HS1URNMETg8E1wI
IUdWBnOL/gnDOlcRXCtn5k08tbyGuVaF66GZ73Gb81ULB6dlvwlEdz87+iEeuK9tDUB7WwehH2bc
S3h132U5PjsAnFe2Vf0QagnKvQy8ZhipYUTMRKZRvFKJdoLQOl+x6fSFKBG6CZK74JHhWHd3Mhqm
ld47H3lSn5yxJKmsTao1Kvu9FU6Tr3V9sQ5zMvlqk2kLxQ7vxnxl6fJH27mVJxqVELaZwicn3fNo
FCnySSx34T7T3Ej303R40hyU5Vjv2yj+zq8hkBdN2gw0rNjUNxbhYcWDjQSu9JGbzfoKjt8iP3Ry
+6oEUWxdpxrTol6P4Qvy5XWb8RZaGZER3FQoyam5icoaxpUww11ku+F9VIvFv22OtxjqCfKoY30N
lUhHOkqCgj86VlvvO7KUGC7FOA09gAxZ7rcTiX9DRmFqjfVWJLr2nA5CxOcM1wvnTBap/mjZ7yLs
usRLralh9zAEpTtj6DbMeg0Z3g4fhLSz9kUL+hBxgD5rWIpFbgWv2MUj4yy0JldWBKh11b/X5X8g
qcbfXpfM3JfxQ9PN//eVuTzy9yvzi/QFzwJ8OwMDLrv/XpnM43US33mVMW5wA/Ko369MG6wqAZtI
qxgJLNq4/16ZTB+Wq9yhNhdY09R/hHZGtcqV+N8dDs8EO16HZWkxAgH5pf/PlcmNh1rTcZaLKy6h
uVsNXqhM8zPunbjRnTV8DBXbZYORhJNrNZtyX5sqkcuCKXaeD4chkzp5N6jtpeh2YRmuES/iH2oY
U5cFgs8lJiGxkx9D0BB72WOI6ot8wfXwCbehGyCnmNwrbrZHs3Eahsk6JxqwCcQEjwCMSk/ET0Gi
P9C1FhdbDThcRpryLia9SoBfOOQZJguDaJPUdW9pXscVzJkPVWm6TUi81kNBEclS5JhU47QRY7FW
2vGOvv4yLnUn8IubnkIUisXWXCrTnhI1t5t78hOZNE/luV2q2FDq21S4ESmB7fu0VLrE9fRre6l+
dcpgIjzvDXfaREt97BrNqm2aeN9TOqtqZDMJHVjqLzkjM5uxr1J7JLhmKb5HlK5+1iAzMue74KtA
X0p1eynas3gmUoU63q3ig7sU9gkV/kylnywlf7wU/1Tw22FpB+qlMVCWFkFdmoWO0K2O7kFf2giU
y/hMFps8HQYwq7uy/anRd9g8Xbc0IvHSkkRq+xZ1heG1S7ti0LckSwMD00CFN0VpsjQ309LmWPQ7
Dn0PqJTyWufquV5aIrE0R/HSJrE10rZA7R+MpYVKe9d36KmqpblidADJjHbLou8SSwPmMOAK6Mja
Ul452XyZEYRBx1YurZtqxk/u0swVS1sXLA2eS6c30/FN9fQM/mpDR/1qLC1hrvd39P7MrukW+coj
iS/ZR780ksXSUtbqhIORJjOg23SXtrPXmx/q0oji29SAP7FviZTcXtc2OO31VLQ1nSf2G/YzUJKq
m7BX7EO1bG/Gr0WO/bXU0SvIq2BnmBU4w6E3ddJC7U1TjbsFXz2Z+uDrQfPiGgNR01PB+qXiSyDu
BuS1awZEH53Jr9gJg62SR/OjXpXqytDA3OmVfe/U1lGq00cW1amPg/wuC6LwaM39es7J4IyAwrkJ
GhLLmBcF/c9krlyIafZPkJnEvXH7w2x3W79U21vMYfyKm3PAEsSHr1AdSpsZEAptEqVBuZAewDvc
6VbqOPGIsSdFYQgn5NHBZ1YFV0xOnW/kUkD86krP6qCLBnN2rLVCrGdh1buww5eHLc8OisOQaODH
MVwmpNysLEvKU2QoWFQB+H4IEaQPpTAqrIsOPAc1izCf/tvMfTVzBrqU/3czdx+9tfLtL24mHvWn
m0lXCb8DN2oK9ytR+vdmTtO/YWzEv8Pf/Nax/XYzGeo31UE4zX0FSNT5IkX91swZgksLP9F/3N3/
lE9pfsnMf7mZaBp5Fm5IExwm0Kpfmzlt+eJVVmdXwbm1Mg1cGqoxfIdPFG5lrVyqiAUlU4lzmmkj
57SzoyGpcIhC8OtHBxfVwpZwH9g0ZR6xuY4/6W61akNObkffOVm3sWSwJoRoNzCBzHMcHQOuaETZ
L60pSQijddTx8bYjAxubRlB2H3YSrQeIh1LBmjqpFcee8W7BdgonN8ZSU9Idxnm3S6pm17jusQV1
U4L2m7VkreDcWalmf7LgJdtsnAcN09fUGDEMZ+0tgx8OG+sZlKS5sYOgg9uEhbDBv+S5UC+JQGoP
4DH7jRNUR6mB1dGTdRol9yRWV97IkHrdV+NtQZ77qnWqzWAt8bh8c0fdhsk5OwMfzEItVpxvF1fP
fhI0Vm0nDd9NHFLpK1Pw0GQlH/Nu9EUxKBwmyTk1CNyMQy0lp6vKvKiyQUaP5YSfw1nTqx0iUwJP
GrJHZqXKIa8LpknlbdREiI8d96BiPV3h+zm7hfZQMxhlw3HLmllZdwvTBowEwDjnU1UWxpJW3I4R
aw/DcV+SRL1D6sm5FGDDIVkq9yZLf5jz+CUtan/IOM9jh02pHscn1irHpBafZFhbO8zhhq/F3bQm
Vw5DVaDfdjJ6ihK+/3BCFjtzzHlWZbCggHJTFbqxzltwpkkKhzPzh7BZGTEm00mqrBNovmIxtugy
3YKKJnoOpvxubIzRK52KXaXebcMQ3WZdkM8s8Z75Q8LjMkLqGLGlxpaJxKUsnWX0wOveMtlXxxpj
c/WidvFJJvGpid14r+C7J0eUi9HQcD257aR5uaIT6ysr+tjypojcE7Yhm5IFlF7YxjciKV/qpI43
dYbzqYsbfzQK1rJ8oxhHUIBn/a5WxVXTWq8yh5yJfXBswm7fFtVjp/Tbsi3OUVluDGsk8DiPWy9s
e3dtWAMD4QyXqyP6Z0g1H20P1TUZt0NcTYB06mxVWItNlJ9qsq8lCgAvdft7J802UhxqdEj9OVDi
zSRcbOrFRTWLq9bjATbni9IBc+qnfqstpWPXsS0oo5m9Bfsvi/qGN2gceJZChmLNJr4seFIMIpWH
XTpn6cIuOBf9Z5SOqT/mOpbjZSGrp+2PEZrhUDpAT8cOg2qdsNRw3a1amPtIxek+BwYjTI1t/cop
XEzvyki5OuqBh5tn2LiKw7gbZFQ4RoTAB2kCqNL42Zlwgroo/Vnq/TMpJe+zPSRYnuhHQ324Th17
H8J5wEBKSyLl1HroDF2hNUctzOSRs2dJTawY0441ZNAil3uzYIe90WE5mY+9SB1nGxkN8CwDRCjO
o4IYM3ts5rXThaO6dgrFGFd1r+nODkTwhH1fN+f4Rinyqbt3Ra7K+8FtFP3YjR1ydLPIomcCG7X+
kspqV4YUf1WCeKA0UmMTx2a4qglpU5vwrg303pPpeDCMots0SgOaVbGOpj3GPttKAy+09V6TcYgW
wapXeWI8pwoBkFEP0kwVs3XQS97MaeHA2jeWuFqzfK0C4y1KGs2XDiAHfNmfEFIZpEclGoZiAMnF
GA0EAaSLKR3PU9X6Y+wiSq2Us1E0t0rQHXOnfGWd8TkjDxhG8JUtW0g2HWbmtfp4gMNkigFKk129
xSnZs3EA/0Ejw42dLdWcxP2vJTdB656UZHrJIu1zVgXPEpqfaZ/Dx4x9ZT5o05j4hgkbLWzu0mXj
KiIBm8sfs2MW2WeRZtj5x/INT8U+0nUwXgqS3TqeixVvxhvLToFGmC6diKLcsofW/ME2ZzQg3Rn7
DYKZMfD4LVQ7u2CF1IJO2+pGz9lONjkuNHs9s14BBKc8yNSfzfBJa1qkQjjgQR7TUzmpO/DFgYm6
qbvTZ2yq85g5vj7EcNAYnFzysRrWZCueKkfiL3bAu4aqfYmH4szgnljdKri44OjavKU2k2+WO0xr
QhvvJzofKki6s8DlAjGT7jHoCKDshuKJpfIhUVK+x25+xvINo6SzDN4Dc7kiIkjxmlJ+tK77yAG9
ERUBCHkkV1qo79DnPsKp2iqxPXrwFfb0c9feqe5cs/wRc9GtaGxvDAHtzeRz17O2hS6tNiTBN/tQ
6bkS5BAyWHMTWHfp3jWnBSFYeImj1dvWjAcvNlqYGN2VSmRTaPJ7n8OhTWtK6w5+wdQZ4zoVBE4L
1alZ8AUIM0P+1qZV8a0Ua76iqFuLFdZe8gv1WjgrgukTHCN56ApawdpiBdSOjzBMBMhBLkGOrI0S
z+FWGdRjVriWNw3U1oRnZcdQ1a6WKgntbKt6JQuR72eNYE7sfOQbsjL2ElvHmBhfGSejOivBVBRs
zznkOODMYTfnGh8J07lqDW4/RwUYa5XjO3kRT7gCLm1hv+PxfR8tsala8kfT8JmMQ8uXerwP8upZ
lM5ON5r7Ac0PblHIeUx6RRYdtWZ4C/Ns29nah5vOh7CLb4mGBzcrxX1hLIe4YkJobqJ/h0K/DYWQ
+P1N2R1/NH8JT+JRf5Td4huAUypv2Ge/8d3/KLvVb7zKoN9xbREosyhVfh8Iud8I+XJshCogFPRf
KKzuN9SXKCcXEAGgLPQj/2SHslBgfx0IGTZsJ57LBMWkkZvza9k961EeaWUsLrqD3z3IZ1Co6msZ
/iR7bzbRMTRWcYqdfsn/c7XTUPHnjWZfLLW4dISOA0y5yzrYeu3skeA6bts0ei4ac0ui4J1eOOfK
RSPQ2i+sg0C1jETf2elRmnZLRYNWSwu7x2osHghRqVedKxiWMy33RVy9BAkzA1M7mqRt5mr9Nkc0
+sn8rBkKINZRUoqy4RwT20vneNeiJ10lxfyshvZuIG4cwpFcxIYvSV48zk55cpP6GTBVvkpN7VPh
1Kub7jtMEaiCnblpXGUz2/M1dqkx+cm2lZt0HqUVawBprfSAG88Ohr2MWagrHFIhabp2jS6g7R3q
Wud7PdCYVHKy93OXqsxsjWMiMoh5g7KzhpgxDcbJXacA+zRwp6k9OxDrbqi6u0nmzWNmTm9ZxVTG
qp1DGIknkZtHZ4nXqsR4Zk/AHiOE0mQmxU72SkKAenc0jHZvuVix6sA8TOpPOKOvYdA9Tgh5oByQ
AUofAFMJ33+GoCOzjQ/dZgQD5+3xK2xtEEYPXD/YyDYMV9PQWwzZpl3STlv84+uqj09dy+8sDDMD
SF6YWA3KTtk3N3KUarQO7KTcSpMVEbzNGN+7UQm5Lx2EQdJ2UQhpEkxkXYqGuu0rwrn9inPO+npA
yGJqkjNaEPg8suQ3vFwroUNkBotqNt1cm+4572qGMmRHF0uINPIizdcNooJZefF/A9zMuX0HesSq
Pa0/l9knpTuSkSWg2l6iqkMTIslcTUdbt2+USHM8qVU8h6DWVKLnbDReiiX6uh/7ewY0REsvsdhG
bf5MyMmmZPiYJYK+ngTt0CIVm33pGVcxKiC4xc0St50swduG2V9HbYnidtOdETUvTmrKja4Y2dok
t3uSbOYrA54tMaw/0WuiOczYJ0w5fUOxRH+LJQQ8C5Wb8CXr/YJ08AJuu0FguElwuIYuhzHp0SqK
bVJWt71Ob0pN/FgZmNstwscBv65sA7lsKKynoOIiMPkTBz99ONe3MQHmk6G0p6F9KUyTlIFJKY/k
982xz1Ox2LBTX0FUy9yGklyJIOg0I1uigVcctO1dN5XhPo2i42wVN6DOD2NRfRJh2ngZ9HWxIS6i
ef93nPOfcQ5z97+7V9o0nsruLwY6PO6Pm0X9xkZ1gewRF6mxVP/TqkH/ZqtoDH+7Pf60nTcwBQho
FoI5ACsK9uZ/rBoY6LiLKBImNzt1pJP2P7lZ1C8H4K8DHfYfXGHA6QyLb+V/BjrAloDCNFZ5HRtB
4dYbbNMqA8+KMbBAo8Ltp2lcdWLg7kHOcBRZzrDCiu10n3HsPcd50J5ZpyD/0PX6PqEg3Zlj194M
aVD9rOQCR8s4nqLMnpiKqyBgK/TPLCcYLlzbJpeXOoGgoggLeh0QIgfSjMoeuQiKm5TN9E9Hie5Q
hpmXUAWorIXRsJ0dK3+UzmTyEWQnMLDwPcs2sgklKcgktDsl3ajmVH4H1IK4Wm+1D4hZ2bMpsmIX
mqR6FFXQvvVE/q4j4cRru3GHrZ0Qdwtcu7odGNxmXSyRgIWV3w+q0V8ipTD69xLQvnFUi2Ce4DuV
aQfsS3bKhxG6SXQTkRVfc8i3RXOxI8YQdqiO0X2UuHQPQwf+aaa4XXbeJMID2Q4NFhNkmMMjJhuq
h6TlI3TI4qOlFIxh4i6bfiS9VudrbXA3EM/GF2vI9DcCPc0SrIhVbND4cKV01nQvh3J+W+SsyEa1
WMDK4F6JQ9XdBlUf/uCdFHuimOe3oI3mDysenxul3hRhfFBsdgO5Sq88mE21U6oBgJWjdtM2hWBF
KS2nU1qOpExAKGKPk5cgr+MhjEG9SB0taJ8zsEnrJ8OOWd246qNO4b+rFFCnkRj6lek0IHaS1rp3
4PLspSLdx0rU1s3o1sLnNnEF2iqzfAhaQVBAn7k/FHbiBz1DI1KN+YVQXMVvZE/sgsKeaD1kdS39
MYiJUlHKdj9VQXHHVJXMEbrf15B62p9dO3kcGRec7MRIzpggkxfIe6U3zAuPOJ3Ll7kblSNvXuIh
bDKQMWYEz86cD49F0rCBKUeMFvFYXaM+a7yC2NfMLwwDTkvbGsTMkNUpGUSarR8iaSFilbQU8n0p
60FFGZl+sMdBv2V756DJKC31oyqreVMv8naXnmFFFIT572j9txofy+/fnMVl9lb8hdPK4FF/OolZ
2sKusaFrITr4delLHeEAOoVMuoif/lvjO9+Wf7oE7LKHJTeK8v93nZTzTbAqXvoGGCP2PwSkooT6
3xrftu0lHZicKY5hW/yPx9lw8qShV54ujgybKwLs/C5WK/u5zAztMA1p+jKp0t44shdn1moBasM+
YhHXz99td5D3kSgzCPoqp4dbBmtbkQ15OXUEilzcZFnknntdDU6m6Ta3+ih5fI8hzSd/06FwYyum
MBgetblG1AGODhBWSsqKoI4phsAXE4KrpmrH1zyKwgMunxkupEx8VkwTk22nYmg+fXe12ouWEyrI
7UPHJ5JDUhmORVq666YcYNZINyABTVywfcFriNPUc606XWEtIhFm4RS5ukQhk8zL3CRJPqpJHQzi
LAFEz3PIELF6icYwQNDee/EiCi6ZFoxJke612R0AedvaNVRDdE/TIe70ZmNUxa1ZQnOLhVS20grn
wxx2+iGKhL3OEKOrSt3usTi5vogiY5tmhbHuNS0ACkbPwFwOdVNe4Z8q+9u5SdAcZ222AsA4rxTT
RC5NDI4WujeJztHbT/x2lI47Kx4q3c9jlRxSCK/+ZA/Vvo7aQ6clr7Rd4yrPyAFCcpCsQZsdorCe
pRf0vGCMMxo/U1KxCSx1l6BImpQm9Eaz3+YyRUs2d9VbX4bJeZTGB8lXhN6IEJy3yfpwYLGCqeve
0lFj2qEOPmfcan32XaP+dU+GK+kWtezS1+q11JzvImxtxuLoSJFYjZzCK7uGA0eWECVmSjPYG+G5
bRn02kV+bHX1wzTLDmracN+jL0CFgG4pFQUy41xc7NDdIfbbIrA5JaN7rgaxjVQcVnMWqp4VoN8J
EPiG8SWf0SpZMt+4BsS72ZzOJmPWKlUe6be5/0fjSLvA33TBa641P/QB0LkbOe+jDavXnB5rxMkk
91Q4WasWIlQBMfWmTtlze5pude+Gg46eugz+f1COJ3fgzkfaEKcnFTFUB/eLcVrlBrpvq814Ci0t
3v9bGP+nMMZ483eHMWv7v9pz8qg/DmNkNsYy0WDgYn/NR/4QrbLnBF2ONGfJ7v3aWP4xcHGQ2ZBB
5xq2uhhz/kyr5jBm0sJzMRtAZEod+w8GLoznfzmMEfMIKNqsWh3SknUHaPWvAxcMEfBqRSIuION5
A5nLe0lf3lVN0q17gypI5EG6I/WWGajqfg9kH60C1mu+ado/ZJ7d26DY8XhofielwJ4S/wAzu2/7
+pQqCQxakyAbFJR+YPUS8IP6OthjuG21oT3mdb2ve4qSOb7oUtnnnN2ENa3UpkW6GcA56ydGvnbr
7IoYuTVlo61LXw5WicRvvhJuFixg0TtNlwTg2QotaUEun6LyUVEelAgrSNCjo6zjGG2hdcyS5yye
XocQQWxiJndtAwerqVuPnJNjLmqkQnOxncpSO4vKuEQ4MlZCNY4zLtm+6I5OG/ys3OEYE5ypscu7
NUbyt8IiIHOFESx6nxe0BWvaafUN7c60GlLHn9vme6yJnyHrW2Yseu0hu38cbYXVTs8Pkrm7NHXO
UxZGa5WfIRDpOZ6rtzaBsdoHabwemMh4kVaTNmMG6HdYbjZO/sjdeMG5/ErEBEMgWzuNTr2VRkq+
HJT/Ve+oG6cNiTcwL6mGBQqh5q4bVMhBM2hpy910g3ke+mgrpENYnZPcEmxgMBQfT04705k7YMeC
6jmOTN2jOmdw4qbf65b+BlHzszkPx4ETZiXb/LN0mrOm6uEpSpELRUxMCmlBM+6g7Elt1wYMAto6
fNCyZi8qBPqMu93DYCFtJJL+ZxHa92Ewbbt0GNf4Lw5TqX15dT9Go1pafMzJ8ok/2xUluiijd3CA
aPCso0ReWRRnJ3fMH6xTqaLldW1G2BQ3KBGDiB1C+8m8bpfYzdbi1vFk14Qb/uFZ7ep1VULcFWnf
gwts79W+2SZm+mJMKu4TDuXKMdmiI9eVJfTBosiJlo6mTd2mG0NCgOFyXk8RlGHyChwGfw0Dxgx5
Zr7QziZ9q4XlMTWNTeZiaU0pSIx0OCQRpLaogaTg8rs3gqNE10aCT2xP711YNk8RQB4/Cl3ii6yy
sO+0Cnp9uHJQUd4KJph30CCZp6hjvJG62BC5Y606LfhMw/EjMF0BUBXRgajtg12M31ur+SFT+rWq
LG+5t7ZKlN6qaM8IoDE9JBV+NdpwA+3ejzPRbBxgeGBADX44sotstDn6mOxKORrrKKBtdjN79pK+
ZRIY5z5y3I1uTW+jRXDPOL46AVWWOz3yQoOkSxSUysqpqKNtlCr7AkeXlapemGRgqoNdAkM+dQqi
SfBxT8Z80Cv5pNYNWTLwLjWohX1OT6HH9DZxjWkl1UhGsbcDi9m8ynlBvssm2U5jt8G+7PV5tyeg
O2QhaAMWbv0odp/zBORi20Rk2bjkgdYxuVu5RTxeiuuEipFF+XuLlVhIAMqjTVomBRKBg2dwkfuh
oe3LNcEydRh4bSGpI7Xu2ua9a/oLYi6/TYwHEYfsAqfmNKc2umDmwEbKp1Agm6hH1d2oqbg3u+AD
DjTvzp7GELm81wJrZjo8ekqNP1zPr4HABRaRZ5PE6BKduPciozsPdnEcFcAseZp5RujAYO1W0nJ2
KOUQnoita3dX9r9PQqv2AdYYi3jwdZpknH9joQBqLe904L5ePDcXQzBVDZPd4gio4v4msOYH9quw
tOVtoHWHpu4J0WEQPjIsnWdtY1nNWlfUPTvY3kdWP3MK6xvXlEda7I3DqMBzUU/VlfgB7QyCuNa9
6kRveswq9D1k/6u65D+G4a06OyfXmXoQ2mzmrXk4CCv1WB1GHqxyZupKvGSEmt2WPMurnimbNJuu
mut86trMBr4i8ZIutHEUdsh14Q2KvEyyukrbecRsEXm5SajnmJvueky07DnVgwmcf/+ZtB1JY+J7
1hWMeMtT5GILJ9TlDtMaQo3m0wzBTndqdRONkE2S+TFVNei+ffqdE3jdFuZtowRo44X7oljN01iP
R9LlEfN0uY1EjgGuyraL7MVoZHiDX9yQi4vSmPZBjTQOCUg9GTurbdPvfaYMqOgQwmyUWQ6eMzrr
TMR7ZDA4LYccoXYZ/TR6vfOnvhwBgatv7jxf1IZoAMoFdPDQQtnNJyR+1p+2pCZ1JYig2Oa4hKHg
I+p8KhPtWubaHeKjYdWXBnze9p3djy+hf9vKdGmtkS0h51cDOx2zefE4Tsr3aiwfspi58FDofpVh
XnQgYvSpNSPpd/DVU+dnXdLdNqhG1ibCqJ1RCMpnvK2jl6t6H/1/4ETa0gv+MrWzLQw6QrNMdRnd
2f8jEG5rkCKTq7sX9T5fPZub/lp7mPA89+3hrj0TbrQuPbmLT7gP/GhXbqIDevjkHG3/LXD/U+Ay
pv2bAle+MerP3rr2L2a/PPKPIld8o4y1AfNpFpSTxUT+p62isajLDcR5pvo1dv19q7hUsrC5XVcg
AMOYwkT294kDbBeqZqb1pPwQd2L9I5m5vmBnfn0XYXLHaY/OXV3YM4Jv/c/OLOKk9LQZs/LSUbPN
50SrzOQGK1eirSUl7JW7pZcemX03ZlVfcT2/G0xf142WP/Qqzu9czU+11rzAtjhkbXEX57EvFY0w
vSQ4O6Z55pOTeoU9bEO9xxXTpifGgU9zUnwQyzyuyl5rB8wT5a0Zzhs1h40SwcDuQEv7mgHaIZPJ
mekqYRAOQH+9L9QfGsFuYz+E2YZAE0fd0xU08YFUOhluU1VBbCt618KFW+kJ4EMFueLKgqNvx3a+
rW33YGWkAzzogURLHeRD0hGPwkz31CRx+5IMAUq5Xs+1Td/1yUxRlBzttrASD+Bpi6SjMRXf/YpA
5jLtyT/6ikbOmfGHeKbHH52VU81mxZO9ZCljqNk6X+nKxCxXQRn49kDycuKQwcz848x8pfa0VuIf
Jai5ngOomwgZy6B/1IhyVpp5L23lrkcxUvTDHpWy3xP9PA4mYfUWPjZCoZtMQ5IXv1UsisiGVvCU
dWdIx0yfCZR2liqscdW7vlP2FpHTwFBunCVWT29WuTLs1FhSb+Y7fHqn0IWcT3R1VzY/BFHWLum8
GtHWiMgoPexdoIYXK2L+WWfVfUYYtl3EflaJ7WC2d41EADOyLiQ8O+e+J570zXVaEhVI13ZyXVsn
7mehlmuD+G2dGG40YVBliHLGox4Q0+2m8qUhttvuHL8ixhu8/M1c5hcHKz8q/JsCKlBL7Pc8lOee
GHAjL254LRFRIRIjJjwJypuW2PBZx3Al5YFOZguv5VUzkw3b4XOFTSksSetYXvrQRoTaqF6cq1uH
gHLo23LZbBMwHmFkT24aS7ut0XrLWXk0iTjHhsYrDMqdJNB9C5caGuXKJRQdGTy9QfZEG/NYiuiO
dMdNUJknsl03GqHqIulR0E3qaSBuveeb8FwC2FOC2AMC2dHaek1EmjdB7cyajwPB7WWLE4NsyI/G
1sAuj3fNkvEehL15C5xlG1tDdGMFxnkytfzSZFDFqYGIiY+1Uiczno3Nyhzri8BiP6i8pTrX2Gco
8L168eFXGPInjPmsc9GM61SQ4e24OPdH9qk96Z++jqlfJhNvP1z+VRVs6eamjaIHr4gBz8NCBHDy
7iFFoKsrOl3PQg0AX0+65hdJYGEKKBE6sqpXCtKj1XNgGHfGQiCA7oN0cuQVZ3p+TcAUtEYOZRZu
QUUljD/ZTjYUh2cJ3AAEgGdSGgv6pTXvDl4tjQmh24FEgD3kFUAScCOCAJxauDrxBZj8SQenoKK6
za36plo4C0Odv1cG5AVtVgDNwGLAnccvCzyDmTn7cuE1EOYKXGlhOAQLzUFBU1AKjA2YA6EEgHwg
uQWFKOULy4pnuVAhpoUPoeTzTafq5xFwhLUQJBQHw39FkMcYR7jvk/7OAjdBSO1B4QZ2lC7bZKQw
o18dzhhm2VcvtAoiRCvPXQgW2sKyQM5Zb5L/w9557catpWn7VjbmnAZzOJgBprKyrGDJPiFKwcw5
8+rnWSppW6Hs6f2XgKkf6OqD7rYkkrW4whfe0AzHmdC5MLXgLIqK69ZscID3+yvPNJjvGFOliGS0
GAW6QjUDqg5eRwhpEEin8NnR1tCFysYo9DZ8g5jy32f/09lvUAv6/dmP0AgkyuHjwS/+7O+DXxVN
XyogqCEBGRKWxn8f/NoXClvPhz5h2y8IPxGCY1HYUil+YQT969R3vvDvsswp7UAMoyD1T0pb1pNm
25vYUYcmTolMdfgvHkVgjV7xsYGn9mZRVMl5qmAedlKpDfihoQkAsiCm1KkOSEtaAxP8xe/p7P0Y
s9Ffkmld6hAwJ5p1N7SdP88bb1UiAVPkQTrBjzmGEGudyrVSiNUTU2jCJQk+JE5Q3oADa05q6efe
qSS50RRv+xqj0eysGuoHSVSZDad70DnB5j7l28Yhhcvs4KjXhSWGE55IxB+lnBmzDBYlVuq4ntYQ
XIC7l9jQU+Ypm/KupWEL/XZYyqp9J/XKwu9qZUJVbWVZ9SmUaRCxGN9MjKL73tnSdVwP8TSMlEvN
qG89Ko9Lx0bbRKHOd+bR+Z+DX+dMMKJyjjL9GgxGBtSRkohNwQJ+51kmwHqAJ7G0Ar7ng+PrVfkw
kY1HvU6WGji/Sg+OdAH8KyVp2oMEhErLbzurRC5vG4ruWQ9uOhXYQTCETkiVGykMYIWgOO9LtTor
x+DGAHYY0R6aUTAFiWiY5xIPC8yxWyV+IIFElwC8S423QL/msgq0U+x+T8cnjKMcqOxU4B6Nwk4O
QkwYJoZARQIoOpeMDopQRV3AkCDDgWk+Cn14HKHAVRZefOIXjTy3gVyaFY33jpKWAxjTzgAZy05y
luPPAlS4sA/KPFWXIESJdUBzliLrzIfYXkaWX85Cgfo0W7efGwIJisQNqM9BXWHY/M0FLBoDGjXl
BonBtJui71YsS+DyPWaCkKXp6tB/mfQCfap3I9aZAFITycClTZXcJQvNnXZZeyQDX/UFjrWvy7tQ
Ki/M1jinnnnghVQSTDXE0DW7Tmp95SiY1EWjeV3DFJcT7xv8tkc6hhJlKkJXQyBqW4GttQHZpmEB
9FvND10rv5EEDjeuumvJAZnLn8L5E2hdTcB2JdxINNVEcEnJfiYVgmVBlp+QpJ1FOpT8euhpZ4EH
bghe572ACFs4/bBWShs6X6BOMVVedTUWZZFW9uvazcMZNDzUTgT0WIvCmwYrmTi41mrMdmwBUmat
4SUIbNmurXqZVnSTjI7+fa+o7lTL5KMB/ws9xRw4CQNtNoKFhhiIgVZaEGSBkw5SNaW1BHQ6eAJR
g6Z2QVVHPU155tqlrh1Kw89IBrIngcTOrGquCWi271tzW8/wYbN+ygK/nVv6z3KUvzsAu/EePc2H
AS0dEN/ou/lzcwC3NCTFhd9U61gfkUcYDuxsxK3WIdVWBIK8R6vGRoeltIefalX+8KTmqMvqr2it
n9QtVH38+GYjsHTNQbVIEUh1Q2DWwwYFvkbg2Mu6/plLSQJ6sRNMWWsdFOUP+gUyAG9YRKpAxPed
bR7WjQCuG5KNIJd+y65bEJ6VOH0Aqq8hWk0UWkEzNuSjSiDvvQo1AX9sD2uByleB55t+v6YWRRlU
IPfroornuUDzVzrS6gmaeBTIhbntZW0UlF4EmKSHD1jg+TPHYbxk0WUsCds8iUvq91nvnmaxJrwj
XCRZJe/SdbEuy51Lx9VXWj/YUxNehGhYXbg5bEdPKRZebce3ZVcFyF2g/EguCRtHLGwjvLEg5JP0
dNGCbVXHVdq/61PwJkgWLNouPWRDvxj0DBaKnFBLUZuvIH5UOp3GrIVktvQp3E3bStNhT4LJsNND
zMr1aVTEx5Xffg0Mnb4lHAIXpyIkLUtCdS/mb9v20jBDezWmzR1aWKDj89KdqKnqT82wgIY/Sj8d
HfhQ7ZfBEgzM13TI7kyNtV3Elo26kS1NEWDEM8YdU5xyHSp5WXEL+1/g9YHkJ0MPsk+FkejjZzTL
2LONPJXxPJTrBaIBd41DmSdnIpHILQYa6ROFVz7huCunnYYlU90j0AjCijFtA/MAftbK8XT4sz46
Z1pmkH7q7bU/RF87zsRpHdLcDQxw6IZleNj2DUw3GwxeEwpsukA25dLYzSIQJoOEipPbWd3Ukzt4
U5F5bdRwxdLhwciM89DLH3tUhSYond7CuiQyBYCDDFB6jJtvcQpD4YTzHwcZK13JinJQx3kJMVVt
MFEGaYVwYXxQjcW1prLw41S7kQb9rA7qh66IF44bXnPYy0eBCQ2J8/+gwgiYDP7KGaOVJlXdxMLW
XWQwDSXlbuXCh7XSAetLgfmiPdPOVMu6D/pMmiVl5uGRBFhlyOwLBV2LuSFcflIMPud5ju9jGzfu
gVwOa1NiMtSYqC1o1lz1KZQr25UOA89bl4jFehThkVvMl1lBvS218vMsQpYRwI83lxTjPg8BQDV1
8F2XA2QVCvNcbsxvmW4CWor71ehpP0O5s9hjKcipKi5bdo/FlGkRjtdmFU3kbGD6hUoNbnfAh2RU
vptVe4pqXTBHdjSZlBK7tj+A+MSGvIPAFK7lVD2JIBJO68ANEU1DukMAfPS6XA6jjuWbZoTTRo5W
oVcjN29jqSoLXGihuuk0E9Ag+JYPvoe1U2F75QLJOHmaJW07y+QBKThoKINk3lCiV0DkusY0KaQr
v+yuIR/C3A2cadbFAHYVNJsau4bdlcFB1/3L2rQK3OHrg8ZrqmkiO9fwf869uHOmyISR0+RSQxLH
etJoGvaeFM/QbjuQiJxYkKFMdbm6y70EhCvnOaPFEYIAp4mZjaCLdUCKpdz8aco0AWEgz6xE0MCd
6KclCNwoDNy3Q3nkcJJPBsu4r1prWdhNCcpVOXRTLUVqsNWnvRndeElSTbHuVKc2WUkoJfQR72Tb
OyYw0GHKSNlEacLD3CDFxokwPFWDjLJvyc/s6LsnoYBG7eVKKaFc5I10YSW0LtQkO9Cd7qYn5pqY
/ggvPs/SeVFjWYmAGlprUcHX0RErsLtSn9N7OrKhTtv2IBp9RTxl3f0EW0Prim7qHP7kQm6b27xl
6fql8jX2UpEsaieaGdTz1AjLCbpyl9CUcOqw8DXHU4t9ukxPer1MF6WpHyp2fU87hlZoUN8Uvc8e
1MjXY4y93RBfAXJPZl3FlmrJd1hTMPkpEsPksLpZFjfHeVUuUhnnH6opJK6Y5TJrw0eH2NhvTZjm
ffo4JuXh6GAn6lHtUdX0NghRbQC7lrfAzCuiPCti6/MLZqbvdBbakgEP2VhLuS9/mj4hnZX137WE
mK8NyZHp5lL+OcC3auZH6RpI/F1YN2e6XhwmAV5pCLgsXNQeJpjsrbDUveh9Zd4boDDcIrvsK2eV
6w4UHwlUSXiOk9kUZQUYQBpIZjeeB2V7jJDvQRPk09iQW/WwCpVhWniWGn2N09G8HbLAxGpEolXw
NTZqLO0HIVhm5NK/XcE3aDcDvMEfctCGuZOkj1uSUP7uJQlF/EswycG0qQpNDCEf/ncSiiE4QmGm
RQHalN/ogtlfdPJPDk/VFFpiwmHzV/UZnyRB+kZX/AmD/E/yUPOdyMkTxEJG5oSaI1BmfJEEBONV
Hqq0Bn1bxErORsM/BLdH9zqjboJk0JiG2aI1CMRDNz7R85hARtNXcqMsg7w+86lkpshNOp0Kr1pi
u1YOuypfR43+HWehaZTWJ/2oUM3UV6MvmBBSNkx9y/uOuPZXCGDR3EySNSASbD78AQ/KGAGeEbmf
o2RAIzCO0MKykxrCneYfNU1mH6e0IW1f9NAFVHUEjVA60Z0JT0tzlXOfaD4vqRRBRrnFx0+wY80z
m+APxSR4KpjlBWewmh/MLCOQgMY6HX2LqLuNlAOYdMd1jaekm1wRXT/S7j2pdEe0Da86ml1oi3jL
zGyOTAM5pKw1zzC5O4zrGEE037jWcAkes/pH55uLqkUvqgTONukc+xyOAUUxtGa76DTswgUlVZdF
iCRJaMUIO5TSjSOUXLMxn8lGeOyXYz8RBAyYEUicGTHEUgzKF77pJAspdH70SIUZbXOsQyU/zYuv
sD0WCcfsYCln2L4uGq2/GODL9CES5BodOk1BiDaWblvdvQHpvjAb0hun7UD6xcldMMApoj6Pa0MD
KboPT4eWoSui5qvcu8SlkZl8K/QDRE3smhIDADetsNpTT7YXLvgL4G5mNx2a9tKHesT/DhbEPvGs
LtJvDY/hghecRgGHtN5lSyOQGRsbP1EIoEXLewhDiYhDtuNZNtgwFAftIrDh6Xbug14g/hWY5pWe
mRcS3LCpVJvHToKOW2NgeurnJP5B6V9I4E4M5EGRfSf27ovwynbTezhas9RNEEOMHsK0/OY5tJVN
1SAw5EutclfpYK8gBgYuzZvSBVpoet1PAgvUThbg0hM0oJeTlTFG4CCwOlG1eI7tNAxRCPE0VvKZ
bgKwka38NsuSuQNq4dg3GO0iJiGARw9rpVcQ0a4Q95EoMU/GniPSVJz8BGmc62KMyCQaIm6ZIzAL
AAah8mkjxJ42k7jMjmR0x4+hyQMfqG4D0zpGvv8ibfFztgInmUrKOC6TlAg/dUuK7wNnHpI0P/K0
uLRbXrzRebOBkr3cuA9uKykzrTUunNy+aDp31WmwORXXPbAQtpsYTPoJwhaLfqQ9XiqUflQvquj6
IjYXFrhQS+OwRgK5mpJNEoIzopNaKg/rFgvOyKQ2Q4dDEeVfNBCXAbq98yG6oE2kAMuApDqupWhY
16155fXtVRQjrNnb55GKBir8YTIFlfhOC6RvYN0JZXFb98d64Q+tiZ15geCdkIUDkkRWIg1r3utw
qFfGPMtBHkYU2GaqpD+qfXUSy9JJL9fpPLCHdA5gdk1JfDXktTHNTARZZQsKEDhxazKUBOFq0V0m
Fqa5RVUrSxcEqcAt8jxtnM66hhnIv/9UYyhMgxG7VNmJkO1YuqAq81glTAndTAIiD+s6L4vTKka9
VVX0xzwHhil1iyokV5LUWJ+j8wdiQQkXvjyWx64CzjPVeduM+FGR8qWRbkDruE6/60mcLciW0Y4I
bIc6HQFbPHgrFymCVaYM68LElMBhayS+XhRaI1GR1k/G2j+r0IIgSQKBOgTaZRcmHeJNqBBV8hJc
81WOz72WKZeKV6jTbERSSs6stQfwNTd9+nd6MOsCuF6G3FxL5qhM4RUW8zik1lQaTOqocr+35vi9
rKkjVLq38mJphQJSM0/Y4CZ63VzmtpLMyoj3i63tzKb+Nu3Qu5l4CSWhEl4Vu3zmO2dsdEuoxwjm
6tXV4HbfIrW+KQubLn7U3OjOKK8UtVOoAKjQqPC2mgW2b0wHH2mBzIPTECvaQVmFl6mpLceclpAb
Kd+7iDqGE4cLI3bCqe0AydFy/HBK9Vtrfu2qw9G97agG+tpXqkoTynjfCJuvAy3h1aT10kyzUzWn
+pnHSrWSQ/NRYaOfK71zTqLK0qb8upIMIkHLHIN5jHv3JMBYNXO64yqP6ROpK6uP2X6DYT4OyiVk
hCM/w5UHlfwbq6bmIRf1YVGfisZhbeD94AFDwSGCFl7mBEu1KFHyL4MbZRiXiJ+Hx5SOlMUolSfO
YEkLpKejhVb34WSkRDqpcvJqw03mXe4dGlROp5VpC+5n5lFQGRpNXSFS8mgHiX/SpTWsIuJ3w7oJ
M8RFSoAZKO8W43CqUG2Y+hXv2cLmYeXZNdp5SD+wfx269QjEAdGyM3mUxpVLo/SgpSsIhsq2140+
DMux71X2Y7uYc3iEcGTw9zSUE1rZB+xGhya6opGtUy3Fpngmlbr2LbBydogWZ1q9klaE1afQM71V
6suP2iA/Ir18x5EjrKb71SCTDNsWWZbMV+cZwT9ns6iP7/sgotzm+UsEK4H3uODQUs+89fukXYLT
D+cdQO4CWxCy1hHskSSgfeaRJ/qld4hxKLp7AQl+JUkYiwUlGqI5ogRBkyhT1A2uGX5OcSV+RNT4
sFU9a5HTNy4rcxnaFVRD+CoLVE1RjCzlHHwa6Cil6G7TukcMIb409GFmxsZ14hQIJoZUg8booNPN
Bc7z8P6VhJpYv1Dq/ApHkns21/MafPQ09pkCgVlcINO2YINTlp0OUtpR0NH2aaVZI0BDE2C+EyZn
lgPdMnL9Zg4Zd5iXfc18oDE/883Rh5BczZM+JsUx9QrFZXU9VlQb4w6eFQnORLHNU4Lc27LMj/Hv
tsifpbmC/TN2v985WihUqRfAro5YuSugEDISdP51jjQ0qh40IRWO2kg5Dtz6yI2zGyNXblHk54xI
rZtK7U+yntS2CyBehRI9UcfwviWDnE4VKT4Yg8NSL08oNC3yTqWWE9hffSPnjJbM6yZvT8ben8hp
cBfrxmERUW+ttOEY+aJmNZQDiWNvniSKjaZLwkYoAVY0Aqp+hr6KMsjX8njUlJqGwQitSXM0b8Iu
Sc41YGwzqnbYw3aIcLQ+UIVWiGbiYEt5PkkH/MQsHamkclXpKmV0ObyzOmIYu2/OrRzhZqdssyV2
btVxUmAhU2gdyF3LZlNyYS240tJ5wjOoT9gGepvgHMxaOoSslyxNPztwntAQ8RMyYnxCSfy7Jbhp
CdIj+3069g115mabwoBorf2djdlfTE1Q92nIKZbyuiX4pNIMlZtWnAMM57XCgP7FIRMDiK47pHFP
OdJLNqZ94TBXSeE02VKefvQPAO8CL/amJwiaSAhA2qqlAITVBVLoVS7Wy5LXlmWKRrOQI2bJe5WB
jlOyYaf91m9XkYH8v78RMpm6TkUTIQNZFw/y6kYK+pKFGeo5kaHhXEd+IZnTxIqHcQVKia6OVqeN
flBV7niJRjoyUaai34Q2uVuehfZhiaLXkWIJuiFInP6cWs6FNmRkSebgWdVRG4WV9qPtC9NGUK9o
WyTyACi3ehsAsJXisy6MsZQK8jxT5xThGmQOJc8l2K9cCi/R4MwF1F+eVem9EevdqUX2eaY3iKlM
lRzg5SJze20atw1WFVVGTTXoMu1MbhUjOm7j8Kysow7sEebcvnOuKfKjUeUPKYcSzMYrqy1Waact
DcnMODf4FlDYgS+6CydB8Cg5cIehmGkRMCoAjrN4KH76tn9BGfNUUfOfjdZexsKNnU05/G5FkDaF
le+JZOUlNguGeRgHMG6chL7UqOJNKEnaTz2sUDZ0ffk0rQsM8Vq3mJCTGTBK7RMwvqdVCiJiVO2W
kG9Ul3VqXQ+KdItzdjHDLh5UeV17KmILmFUxLTjwIU0E9H/EJZDAVyKzvC71Wutnpp36FxVijPMG
Sg2iD3J/q0MsYBRVvOKriFKiLpVIVaGpWZg1hlKSopy+Wnvnm0n72lBMFf3rd3NZSOQptoG+udBE
fzvFiqEsPA+Tr1MOoHVHpnGJQdUELC6IyBQIEx7D3hxW8hx63MQ41BfaHMzGNPpf5roh0HO/ngOd
WE0Q+hBeNwSbhPPs7XMYPa5KXuVnp4T2h0Ps99PIK1zyGqIROgjOvGhdhK1UExll15ZPPKt0DxXe
kRkVqKpZ+JC6UOtsdfxR95mzqFTa7XWdL1x7/GEZrkF1hOI6gJUb4FgW2uXFMLUq0Cx95yLo49Oh
Mfx+jsDeslOgqbgjQaTtwrVyVqOGCo6qLnXAApOiRrIhcKA4JOmKgvwsQ7hmksn5vOu8YxVZTjIE
NFFboowkCTGFaYvTrne0ZeEJELnmXXtdtkIi54TUSibjzJdyxESznILqvhxe/vkVv91Enj2YZSQI
dYf6kea820ScUe2cPHHLU7lNwiUbAQ49JWe7FPhzI0PCQy+89Z9vud1v89U9371NqYdo3kZedVp4
2nfDJcqCkgCHxVrpSYOrFDArz6SaYqGHYcQUe2mSDcdj2YD2l4zjLLBv5YBSLTCsnyhEE84VJ2pm
fpXd8d7wih9JFxSzIi3yDVT430ZUop74+zP5O1pYW8qj/M3LgSw0oGUwiIA44OLqouL6d3kU+A6H
EzKblimzN4HA/QXOdVRMCi2Bu8Ze5C0DTaPPA4vYprumCqWHf3AgQ/N8s30YMheQTWqxSAtZKrKf
PMTrk7IuESGI1bA/Q0MBtoKNJ5NbXtVq4k9DFTH+UUmzqwAcLvrpSXJZNW65kmQFFsboKlMFPw4P
GnA9KXTtFOKzPEepHWU3K8S5BaZ/rcqkh0V75zRdfpUNIPrp7/bnDin5FJqUNXUaN7vSq/aklFE8
r1PUAQMfZTOvIDPpUu8Ckka6bAxVm3utq8wqRblOMFZcxTAxliG7AwjYA22wr7yiwRxVD9UZSNzg
LA76ZEoY9APNB7qvnf0tHdXguqBMd+KrQ7og68NWKeIQVRiCM8x/3QWFFWcFJUMwCbCZrRPqY11u
ObPY02hYpGNNqw2yNDZwpJohIlpNctwUSBg4kM+IfSZ11kydjM6e4eeHcqPPI8uT56rXHkaldNRm
9jdG8yTLqCzKNccVNdcETKD/w2h1aDw04LMuu/GK6EYIjM1z34MS7AWXtQ57BV4GjekU6x7T81bR
yEkvmcmj5tEw6lPz0MSwcFLTGCcTCcNFDRpw4budDMlg/M6LDmFB55eZ5J7qaD7Y1I00N4Y+lWsP
7lCdIy3ZHiNIiPR1Pcp4VdiniKQh/O2Op0bGK63zfgZa9TxKtDuQvWBko3vJzdnFff8wivszswO8
ZVHLwhEM/QGyzgNMP41p3KBc03nOGY3/eqomgpABX6xPIJJhTj2hqvg998avuo5OUmGhp9aPElrh
AFKZH0Br7CKyz0icQ+1O8BWGAws7iLmFFjIiQGNCRa/0ZrEBvsK3jEcJhljQ2GAspAGyC2eE64QG
Qj3xYYsp2sQyaISpiXKsWdTTY6Fn6MoKJ7ZhB8vBiCCzA71FTJrk0DBa4I8luAkvwlKLctzgU/sI
kF+cZ6GzwBoEGZ9oZJAJ7w6wqMc52oBm1bHApzIzVfPyizhNe2a2ftDbDlXHKJGvUt9FeEfHgzRL
EbE1QuI8xwR/5dJH1eUUmJz7OABhCgBiHUSGcVXW7g81TespbqZTy3JOqRDGJNwGfKyukbEeMg8k
u9TPqMNgVIwcxjRXAhPGin7ZRlk2dWvjGEwoKFDEuKeyZByWCJAcKkN2VOixclBk1Me82oGpfVsp
7pnUeQt0LPoFBiEI75YBfJekXFYDWDrwdjO7iO/82FjYWc5SZ5nkgnGuJsmPHAp6L7jokWTZM9gs
ypkvmOqu4KxTc0PPSEdEq7Hd07agjRs6JpQ9Z5zEKThmjRABMmv/dVBAFGB9Cjd+GG1odvDlqS+R
v1aZvhw8Fza94NXnRXqETJY1HwTnHuXX8bAIFWmpC0Z+VuRfTckpFyNkfZwzbwHwaOdqSBmA3Q/d
1wCEmQ/JX8IKxROsfxP6f2GF3s8KQQDHZxl/tRAJGJ/kAlDoQDrg6dj4/+D8fH5EYSw8T4FxDF+b
x3K4eKzA8VQvR4v46XkG+Okq+3/7pT9f6C9SW+58NeSP//kf6we0/GdBVZfBfc1xtPnZwcN//sez
RAf/9uZEfnqwp6f+43XiNfdoHriDZgJ11WGYiAaj+BBTxxkSNJsfS4pwS0ZVj3Ob45J7vRqj343C
n7/gZjj//Dt/fPj3gyC/LxX880FwsMZ0KPWjOvL0YVg/DALEVmhAmxDo/3gQXk8ExEMoHfzjScAX
/DUHrC9EWCaqV87m65O/vfn6lEvoalOoIHJ7+uzpTBDVn388EuJd/xoKHfF23jTCM5tv+n45MBRU
lBTZFNSt/VwOKFXuOAgUzhzNYDXgvCI+WwaBRBtPFmsz4P/Hy+HDxigee+dBsL5QGbTJErSnMUD1
7e2iYGNUAXNYgi24lxNB32zYm1Lh36fWPzocbDYGiIqi4vn0eb8xiMOBCipp294eDjzyzqtBMEA5
BJnsb7ZFVUaNVhSY5c2+ubnVvi0GhLSYujuOAbseID72xecDktT97VAoX+BQ6KI8tKerQd4s011W
A9aOCpqN1CA2O8L7bVHUNzhHFUXd15nwoYLzz0MlzgYLsVRG4eMU4AeWQn9gT6fAB4jfP//2wvhT
gOf030RKbAkakjqYybBC9vJUEKDEHTcDW6AcVZpkUOTER0RQb1IGsI62iKf391R4X8n85zMBzQCK
mA7ihb/ZDFShHIDUlrK3geLO8QEuSJZo+ahiJMTnQ4xEOA13jhhpX4MkZfdBkL/oRMoUoDerQSyw
D8tBKKghPrGve8LuAYL9xYJ2S+V5MxFE/P1+EFgoxJKG+TRM+3pGCMWOHbdH64tusyjIoDZj8WFR
kDio6H/Au9rT+SAg6DsOgkmYsEFKbFbFh0WhgIdHFB6B0T0dBKE7u+MgEDDS01IcISb0djVwOOAg
bmnCVZyb7F/O8Fze2CVcxu8cwoNBo+d5T3g3CJRSLBtbV1vZi6Iab+J9ZVHZLNBdBkH9Qh8RXAQl
o6fP+3WgGF8MxsjA3m+v90Vl56oSMvr42ys6CKp3E0HVv5A0aJhCPYcRe7om9J3HQNNpc+MvYFFq
3XzeDYWotDq2JsBaLz/fy+1B2exbu6wMDJxllf2RZPLlq77ZIxWRZjgmUh77GkA/71u7DIJD/Uwo
mlNDevowrG8GgQIbUugKmrybOHX/Dgpl93zS+KKh5U5ZZbMFCvmUN4PAohC5loL96Z7uDNruywHV
e2TmyBjlzWr4EDUqX4gY+Q8jJT77Gjsqu/dgzC+8aUrr+nMA/T6XEJskP6PMtrfzYffAQaPSJKPK
/bwmPi4Ki1WDHiV+NHu6KJ7fzi7bo44RnKpqIFs3i+J9xZUzQgWwRdVxU4ra20WxOcJ2GQr69ELF
CoDQ0/L/MB+oPELtJfMUmpf7GTPsnlBRfrVQsDfk5zLD+/nAcQmDWsRX+xozaJsta5eZwCAwBDoe
h5uZ8D6loA2hOuyejrOZKvu6KNTdw+mnUgtLAq7904ev+j5ycEzdgmPxfKru6dJ4bhjtMiuQHhCB
NHJ224cCjwdibcx2RJF2L/cHbfeqE9k2Is0GGff7iYCOr6nZQIifT5J9HYPdoyeSaQAsfNPnlOL9
9qCA9qF9h9fGno7Bc69gl8VAbCSbqECazwWF99OBwxIDEoewYb+D6ecu4g5DQYuGXqVDtPxcUPhQ
fJG/cJbQ0n5O5PYvwxR0IzasHQZBEzgW0P0v0+FDn4qMgpI8rozPRd/9GwR95zSb+ht4LTZB+JBP
ny21BnZI2bZFgW4vT4jnB9txJkC81MkdN4PwfncUqC56dTIhxZ4OwjMEdYdBEG1brLV5zy/dunen
JYNggv/DDHUz6/ZvOYgDfsc9AStY0Y/EI/Y3uSUAQANoF6LCezoTjJ0DaPYEGg8mSfZv6tFiOVCN
BtS0ibD3dSjU3XNLnM6IiZgRz9CeDzsDEDdUxhVUnDefPZ0Vwql+x6WB/DXS2DTzn2fFh1okjsiM
E96e+9q5e+6r7rBJQowgghbT/jdQLxEzODQnlGdY2f5tktrOMQODgK61QD3+phRLrUGX4S2yQ+zp
ctB3jx5p45sysD57kyxsA/jwQ9p6QmGPz75uktrmHe2yKCx6uEIPn1j5ZRN8U3DhvKAsRWzxjKPZ
w0Wxe+RgECKipc0WuIkh31edyC45UxEdeT6V9m8QnpFHu80EUXenb/m7FFv5IjZHIOH7ekbou88E
i0YUdkeG+bv2LTEDdk/C4Xpft8fd69FCv/TJHOs5r/wQOD1V5Uyd3sS+DsLu0SPlV7SGAEU/h0y8
77cbI3g3waXZX4KEUG3ZLW4UCB86txRgn2tNH+JG0Ayk1oBb9vWINHY/IkUhXgHQRTHp6fOhzAJL
BDiHTSnmX18O/8IR8jdBeeoH8cNcsIiDx2obg/l3v/BSY/v481fIuCe+6ZvfFFTlzc03+Dnx///r
LXP5CeD46qcvgMenOz3//fNX/HjzNzd7+V4v/7gKHst1ee8PTz8Ynh/0dJ3Abf7vmP96WL/H9Yl8
/+XfttOs/14Gf746PjuPLxf6xcmWyb9+fdWPHO5/7eLJ+iErXy706uIsnJ0vPsGKbduDM1N3vvZ0
Ha9bXkn1cq1Xz8583/366HBXH14pcTdnyydcPK3L9V/TrKq33YJAZudbzB7jv06zcuv4s/fsfP15
/NcsK5k8L9d6Nf5sxztff1E+Vum2i3Pg7XzxZfyYpi/XefXgn7FcV01yl8UP9cfLC2jrzo9+kOSP
ZbCOXy716+kFiHj3y2PL8nKZV5f+jBV79FhuGXPRDdr5qY+C1NuyEQiI2M7XPl5HW/YwAcn8hEtX
1eO2MfmMBXqcVX/9d+o9xo/bRuYzlujJ+oEN+GUcXs2Wz1iiJ2vc+LZc+zOWqLg2cstbHl1ARXZ+
rSeP6UN2H2zbvQT+4hOuX94/Prxc6Ne4i3727hfPePaX67y69mcs05Ns65h8xirl0vVj+ThsefLP
WKmn63zbbPmMdXr62K4/xo4bMv3Ob/OsXLMFbBmUz1ii5/H6/nFL7CiqUTs/+TkK0duCO9F12Pni
FwGhYxU8bBkZ7TNW6OX6viQlSOstZ6mAcO/8BS7X6V+TR9xKt93gM5bq5gZlui4ftm5k2mcsWnGT
WfDobfsSn7FqxfUXrID7oLrfdo/PWL7iHofZumi2nVYChPkp7/q4Caq/zu6CKt/2PT5jMYvvcbKu
H7dd/zPWM9ev139N1uXdelvMIChPnzFS3GMab7/D5yxs8S2mZTO+PO6vI1L/lIXtr7fmhAKWs/v4
UMPYOvifspiDKsI5t3l5zlcD8ylrOYvX26IH0Q/cfWAITJItB7zQgN394vUaEcp43VQvF3s1NJ+y
dEWZZcs5LKTed376q0d/vW1oBCZk94v/0XH7D/qE/1Jt66phJ9hyxIue/e6P/mejtl2f/c/GA7te
/Q8SyjtfurnbspBEuft/GfJtZdm/Cesfi7Uv6o7b/uxtLVr8xn38uC7/638AAAD//w==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EF62430F-9EDC-421E-8AAE-203627059DFA}">
          <cx:tx>
            <cx:txData>
              <cx:f>_xlchart.v5.6</cx:f>
              <cx:v>Sum of Amount</cx:v>
            </cx:txData>
          </cx:tx>
          <cx:dataId val="0"/>
          <cx:layoutPr>
            <cx:geography cultureLanguage="en-US" cultureRegion="IN" attribution="Powered by Bing">
              <cx:geoCache provider="{E9337A44-BEBE-4D9F-B70C-5C5E7DAFC167}">
                <cx:binary>5H1rc9s40u5fSeXzoQc3EsDWzlYtSEm+x4njJJ4vLMV2SPBOgvdf/7ZsJ2tRclY+NapTr44zl4ql
hlp8gEb3g+7GP+/6f9wlD8vqXZ8mmfnHXf/n+7Cui3/88Ye5Cx/SpTlK9V2Vm/xHfXSXp3/kP37o
u4c/7qtlp7PgD4Iw++MuXFb1Q//+X/+E0YKH/Dy/W9Y6zz42D9Xw6cE0SW1+89rWl94t71OdedrU
lb6r8Z/v3WWif+RVppfv118jf77/d7q8z6t3bt5k9fD+3UNW63r4PBQPf75fG4a8f/fH9NM2NHuX
gPJ1cw/CVBxRxh1EBHv/Lsmz4Pn3FiboiHNCJEUSrX7wz0+9XKYguLtCj+os7++rB2Pgez3+f0N+
7UvAo/j3f30Ed6tHsXr4AeDw5/ubTNcP9++u62X9YN6/0yZ/fFbV4Oar73lz/fhg/liH71//nPwC
HtXkNy8Qnj7X//bSOoj/DeCk0NnDXgB2JLUdbDP5+CMmOGMJOHNu2xxmwNO8ekZ4Z41eQXhdfheE
1yUODOGLPMv3gi8B7IQjnuCVfBNfQoSQHMl1fHfVZzu6a9I7YLv2/gNDdpE8ZNkeoJVHNkE2lsSZ
YErIEZYCc2qDvX+5ZnfWZDuo6+I7oLoucGCw/juBne5+uQdg+ZFATBDh0KdFO12zgC/hBPblCbxv
0Gg7wNMBdoB4KnJgIF8lDbiAe8BYHknqcJtQ/ArG6EgyIW3YnNfX8O4abcd4Ir8DxBOJA0PYe0je
Xebgvv/9IDN8xG0GbjJ+3n03FjI7IohRWMiTlfwmpbbjvDnEDlBvCh0Y2qqp94E0hb0YE8rQa240
wUe2zRyMySRQ2lmh7Sivi++A8LrAgaF7vczenTfavPvwXZtiH+60fUQEcTCY5seodxX2TsNix4Fo
GJOJO/1/odp2xF8baAfsXxM9sFkARMmyfaj2sm0L8KwdggnnT/iD3d7AXyAJpgCc8peu95uU2o78
5hA7YL4pdGBof26SZbWHzZs6R5Qi4LmeCa6NpQ7MCJFCCGzTdah312g7zhP5HUCeSBwYwiuzpR6q
bFnd671wJOwII0GxALwffwDPtUWNOSDNkORbbPrbFNsO+CtfcAfgX5E8sAng5klj9hFowwpe2Wpg
P1+x5uQIwcxwJJsEYbtrtB3xifwOSE8kDgzhi+U9bNh/fwQGRhy2a+DB+DPCW/w15FAmGJ6s7d01
2o7wRH4HhCcSB4awm8NxzAphU+8DZ3GEVkE2pfyJTpkeY6woUYDZ5hheWfPL3qjXdrS3frsdMN8q
d2DIz5J3Xl7B+eQelrc44kQ6wKI9n27AIl7buVenlFJiAB6CMviZBN9vUm078ptD7AD7ptCBYT6H
09y9uGrOEafYsW38TJtOAV8dVwob/uDJjr27RttxnsjvAPJE4sAQPm7S73lyX//9i5rBmhUOZmzz
XAscdQdTBEcjT+t93ZS/RaXtIG+MsAPMGzIHBvR1niz3spTFEbHBMnP+HHVtuGbgfDMpbDSlUnbX
aDvKE/kdMJ5IHBjCJ2nxUOll8vcvZUpg+yXCZhQ/BVgbkbV9ZIM1tzHkGG3Zn9+i2XasN0bYAe0N
mQPD+/NDuEz34ISD4QYcHWSTVzbn1bk1ZRiOQYBVg5+JN7a7XtuxnsjvgPRE4sBwBnIIYi21rL4v
9xJbsyNGkHC4fAVu8MUcKQBwIFAef9a36zertx317cPsAP52wQObAyfZsI+4y4EMFQLZR/w5a3DD
DV+dk0jHAXp8HfRd9dmO9Zr0DhCvvf/AkD0DRnwPO7Z9RPnjOfbThrzt1GPFtGBKIJnhJZGyqz7b
kV2T3gHZtfcfGLLnS2Me9oAt7M8M8nyFfNp9EZp6Y8CWOPAyA5u+ju3uGm1HdyK/A74TiQND+Awq
B/aRVAZHlnAyTRizn/mwCR222pHhNUhCmQC8s0Lb8V0X3wHedYEDQ/d6lWO0j2IMCRw2IZB98Oxw
bZDc+MhZxdRMTpIPdtdoO74T+R0AnkgcGMLny3gfGQcSCA+KIRP/mRHZSC4hRxLb2BF8gu+u+mxH
d016B2zX3n9oyObm3b+z4CF52Id9ZkcQHBMqftrn6QLGwIkxChVXMAm2BMjnb1PuFbS3DLIL6FvE
Dgz7i2Wl9+B2UX4kObPhBPr5lGqKOtAiNmSfQCA9CZZ2Vmg70uviO2C8LnBg6EK4/25eLbM7be7y
n+7t31EiyeG4AiEOoe52pwvgBZ4E24JOUgzWNNollNsO8/ZhdoB7u+CBwX6R3+d3uzzctxXGQmo/
kwjKM/Azt7VRg4WObEYgHRxPsgN3Vmg72uviO6C8LnBo6ILJLvK95IbxI8gKgrwh8RwtT4+nIJaS
DuOCgL+2hd1c2dJdNXsF6ekIu4A9lTkwvG/zZB90pjhyOFCZUL4xCZihbANe4BiOnX9uGU/Vz7sq
sh3aNekdYF17/4FButqFTvNl2ezL9wLPixHYgR9/NigvDKm9QJhI+ZQgOIH5jcptR3vbIDuAvk3s
wLC/eMhgd95PUjeQJavDCc6fj56n9ptQSP7lDqWrkviXRPablNqO+OYQO+C9KXRwaFd30IPD/dub
lPAjihzp/GpysBFgAfEtsISomm0Lqy8edtXrNbTX5HeCek3i0HCGlNqH6mHYA9IObNSwVVP0XH61
xZw7tsMcOi2Nh/4SO+v0CsrTEXbBeSpzYEhfLos95JFA0yEi4RQDeO5XNm3II4FjKgS++brp3lWf
7QivSe+A7tr7Dw3Zh3a5l94WUHLjEC4oei7I2LKCEZTXQuA84bgvd9boFXTX5XfBd13ifwHCv1dx
7Suv+k39++fq2UKDvbVRGJTIQX27A7lAT2t26m6tjh4xJxxDpc2WcBnKVH81N3tyxrbptB3Zl7Jr
3/HpK/7+ofyv6wT2ATjMYB+nTxRyNSEfVzivdQKDtjQ2tHtzpnl7u2u0Hb+J/BYI134F7e4mEgeG
8FWyvNvL+bE4gj5fK4yf1+g228tXubrkaYlO+Ord9dqO80R+DdTtPf0mEgeG8ycNXQqMvt/PYpYC
2ZQ+Z3FtpnFBzAQ9DCARZALym5TajvPmEDtAvSl0YGhfL+8qaBiW1fshMG0OfRyhK8nTygVKY70O
bnVcsfoDqX2rnw2a6y26bUd9y/fbAfYtUoeGe7jcS8krZPNBT06HCvpaKxJyRAU0NoB+NT/9vCfu
+npnjV5Bel1+F5TXJQ4N4cf+FNBgdh8rGzKtbcjpghr2X3vyxspGBEG93BTlN2n1CtKbY+yC9qbU
oSGuH6q9lFRAGzEHUahvfDLT2zJ04UUouoCyuG12fGe9XsF7XX4XrNclDg1nmMmefgj2sbChNA7D
0RSUx032aug2g8GsQzua5yU/sd5v0ekVmDeG2AXpDaEDBPsC2oPvA+zHZALOoZnnK/4ZMJpEwIEV
2/DMsnc7K/U62utD7Ij2utDhob1qRAK9w+C/+ziRgixOyON9zgmbrnHIK1h1DgOac9KmAA5936LW
q4hvDLIb5htih4l61Yx7AB16DXGobkU/U8I2QIeCdmi1Dg3lNl211YPfUavfYv5yjN0hfyl1aIhr
E+shb/5+vFfdfSmkdZKfbbqnRZCQ+OnA1Qo2NJiabOFv0OkVtKcj7IL1VObQkIYLFPZR1g7HkYxK
B04kXzt0fnTlHAb5ghOcd9boFZTX5XfBeF3i0BCul5k2ybLZR20Gh9I4BFcmOK8V32DoBbiqzuBg
11/mC8GdMm/Q6hWkN8fYBe1NqQND/DNUZMBNRnsw3tBkCGolIQB7zt/eYEyh1goyDKB3wcQjf4NK
27GeDrAD0FORQ0O5gQaf6V6uN4LaGwG9WyHB85Ev2TgHgZJnoFswFmSyR39+g06v4DwdYRegpzIH
hvQXMJzNXiIuuEkBeDGKXmsACfkHcFkZRg6amO83qLQd5+kAO8A8FTkwlG+b7/sIqlcZvRh6RcFd
VY8/G+WxcMcClMYKOBRZ36F31Wc7vmvSO4C79v7/F8i+fkXdr6v+vGW9nD1eEvjilrrfv/r4cOBu
w4nosyu0JVvnV27eyf2f7yGTjwJlDWzHr/sHVwOtOVIvm6H+BHBd9gGO0v58D5cPAtKrvkJUYgwl
8QK26O7h+SWotoNZApm+0H6Gg9v+/l0Gt7uEj3cZYgT18xJKcDmkn638OJM3jy9BDR8WNpCxzmrH
59AM+OfXvcqTIcizX8/m+e/vsia9ynVWmz/fEwRftXh630pfG9lc8seEYwFpyVAlBPoVd8tPq64P
8Cj+j0z5KLPWbj8krSah71Zljk6THrPTbMyjyI2c9GaIAqJ4b52LjFAvstNWdZHjhZmFFK6jz31Q
n8Wiv25Rfz74OFJF6EjVdGJUox5Ppa6/dOlwyVN6YmtH0cTPVSnMh6LvT52icdw+LU/0mHQqNUZ1
fiCVz2W/qCj9QUVQu50pM4V0PLiFpmRWxVapRsHmTRQJlyWoUdKEt4Pjh8okbJjJekg9VBWfmdM0
ijUWce04cGkxInfoasWCsnWrzP+aSOzVxBncyhjP1t13p4lV5JepB33g7sqIa7d19Den7I2CdN8T
2gu3KTVXVk6+OQFbCF6Mrt/ReSgqS1GTHhOntb02F8emT1NvYG2ldNt/H3L/e1r3H1AelsqO61uN
pHZTFi/iuD8RYZDNcd9VXtVauRJBcR8gZns9zr4VuR0pGrbU85v6wfHJeGniYakL2z9rbM3dyiap
CgNnZmUCfyKGVx7L/dDVcOGPyk0vF10Xn2G7bG+FbCuqGpiF8zxq3ZFxPWM+z+fJQJGb2P04E2GI
VCDHXDUkMxcDEr0Xp201F7kuPD+xBreG2awqE4czS+fVbEDan2XI6DON8mQhZFdfE7sdv3RjG3o5
SnwVmwRdDE7K52MXx7d51ZJTzbnzrTVp+slUuLwKHaJPBK7681L61GuHJD8lTlk1ymIsOve7rPBn
Vt6fN9WYEDWmyP/eC20Jr7Ot8iQj6GOcSzwLw664QQM8+IUPhMhfViSDH0wkzSyVhKiuHppZLIQ7
pKRUJioa1Y41zJtKn2FDLuphhKfezcouODdZeYuMka5VNpdVmHXHvl/3c47aXjU0l3Nuh61ifXHJ
alLPyxS5Ea/qWYnlme87gYoTTVRGR+o5rcy8kcXYy7HQHk8HNM8bGhYzoq85zYoF1k58kcMtDmdx
E7RfZCrEiQPOqAot5C8skY2usaofPfGt47SIvF4M+vTlVaFr5uEuL4ZKB+HzZa+//vqvz3kK/zze
HfqfX67uiv3P3xYP+ep03kzftDLmv971n/tHV8bz12WkE5P8dOHsTwP2lhffZMxXN9y8bsyfUrc2
zfjjvTg/zTh6DKltxwGSjEoEtOgvMw4JKwLcdupAw5onW/3TjMsj6ABMwaEHS84wsK3/MePQDhpD
hyO0apLyZPx/PoU1nGAXe/77SzNOV+X3xboZ59BoGCo8IYaA7FY6MePt0LWsZrz7UPdt7LI6/pq3
wyeet+0skcGHFJfRXa7bTOmBfqY1jdyWWv614N0PK0Rz2GyYGqk1qkCUM5QlQqU8SGa68r9XQYzd
PuGVapvsE5NJsEAy9xdd618IuKjYCwv+vaH62mnHr2FaOy5J6kaRgrl9HqbHMS9OaWFSGDEEQyaz
Oazfa/gsr6txo6quCT3SDFhFoolcf3Qu6ljeQGfGUGVxcB8ZccEq/yNi/YcwMMc5x4Vq2+EjCRGa
M0FbFbH2qic8nwlKHMVJDxtJErs+7FrjWLq0bKITxIhWXYGPceinc1nnZhbrWsyaoaAzGvsLJ04q
ldNUHvsF+1zJWrWD9BpKZ01hkCorW7s6HU5GHDG3zkKhAjR+seV9mvteRfoLY9JT3tbfGjRqt4hM
rxjVrWoGP1FO24TK7oeHFuUnLeZzTi2uJAq/BDgNlBSWm4ikVKxKVaDH44jwD53ml5wFbpBXX3LL
/t40wxnP44UVj55DuVsafNL48Ucy0EwFtvNJwBPyNQ9gc6rmXZJcVkx+cjT6HvcjUj2SWNkIj0ry
7iYl7DYS8pIUvHPrNmPzosFGyZ6f4Uh8thKauc6Ivug2SlSXRWcj9W+KvrosGussqGIJG23ywKzw
r761Phe0Oe/D/lMtnTlyrG+NFd0lMrKVbQ+w0RYBV2OSixkx5Q8+DNeosbQqmbwAmM67iHtlFXk+
+4ELe+YT+DpdM84LnhuPMH2dh9GxE4lcoYAvxojbqsryv2jm3NLUDG429EvWdDC/cFmqNMhi1db5
OW6Tex9mpKxo6jGSL3DinDbOcJw79X1rsUiRkH62TbAItLbU6JdXGIFvgOO296BTe6gqa4g8K2yE
GqgoFJLxl6iGhzRmVqTs0NiKpeRT7RQzWaTHA0orOTN1Vpz6QRdckib/0pvbpDyhsOZu01qrfCjR
cRjEWo01u8nLIfw4dJU88eMkVTk3/YK1vlao6Rh4GTiaDU1oK20VP+yoq+V5h8s6++iHfjTM6jQu
x5vWznWs7LYXRqrAj9l15tMidq2AftEsymcMN9fQG2BU/sBUn4FLIbvWS0QUeTyTi6HojGdhIby6
q5JTXTA+S1sfz4qO3uatHc3GEZZbEsKUzrraUWFfgV9hU9fSqRcI2V+LondUHoYf+nC8J3WvdBkI
T+tyjrrGa+IUz8Yeg4PgiNCLRTBPOL/sGVN1od0Ria/azsB7sn1Vi3Du1PWJFlRVaPCSPr9KdDMv
Wqt2R8uc5YUplNXWpyzMgssk7m9i5lzD08WLUrJLE1VXfdncyFgeV5RlbuB3343DvuQ5/ZYiniji
l26U0FSV5TjOnU5/scOeqXxMQxdu3bns/FaqrKOdG4fJOerGBfyWuL2OClXW9m1hOYUipTWraPxj
GMubIuJfilJfJBX7Xpkxd1HKPzi1PHWaHClWhlTRssNqqAPLRT7+jvrokyDZOYBXKhmNnapjfpO2
bQcrhNau3YlwVorAc0aLedDUYVRRXHp5DYtpgKXHR/ieITkxQdsqHdafogasAMGnCPMz8A/PYzup
XPD5a5V0Tqj8NpWK6jRRDReRx1I8zvy4frDCEVxAWUbzupFaFQW6zHxpzdqkGY5Jhk/HwF9aQ3oe
xuONNVCicD/cWW0ZXQ/gtrtV1x0XhmUqHWTs8aC863KklVWhws3T7EYL5ywsijs98toNCEo/91l1
bGXkhpMmdf0C0Ei4Px+aGHnCF2A2uhOeFr7nO81xEcHuUNR3knRMmTSBuWbSprNVggKrOq0QHlqF
kiCbMUeaufFrI/8iqan5xf+PHtFL1wYix986Qy8rVJ6ODh7jxEepnzEthub2q85QCC4DteEGAxjw
lzMEnXZX9VJwQAEBJZAgv2JaBkfKeHW7N1qV1cA9oy9i2lVXIRgQmtMIyBGFlp1viWnxytdZ84Uk
dG2G1mMOFF9SqKeHSP5lSFuPNC/KpukvYSXLWdv5YQEbe8RjN+Zd+9Gx7OE06tssniEEgVidsxYM
iekhHJBZ+fWFK7nFNVu1K5xqAwE+9DqEOB9uSl5x9C+1YdlQxDJs2ktSZvgyiMfMh7WYO6HbwzYl
Vdux5pa3BeyIVSrq0i2jKg6UPxrOXCiSyO5lXaMPMEbYeCRJ8M1oWwIvBsf2H/Bg4X7+e40JHAVu
aAzBLDTflDaHGwzQRGPNQ8B2qC9pbwdgifoxuWmh/T2d13zIbfCLehx5mvtCjdwZtBpiRBcQIg4Y
wte8vg97Y7AL+5btmVrnrarTELWKVxCEz4I8Cq/iRp6mRobGAwJNfjFheRYnnd3PtLGcC12Fbbr4
/bfahAHKRRC0eIcbbMEnf/zSL3gOPlhBZxWJucxqX37JA4GJYjGBqVFkTX/V9ZW8LnycfPv9x67m
2su5CIXcQNdwCld3QdhA6EqtFx9roz5ghQmyy0yM+BLHYXOZGdhChR9++f0nTSOA1SdBoAF9juFG
ihWns/5JRcZgQ6rC/FIUiC3LLq+ShV+Lgai4CGeobJLRpWgQuRtRu0v/26RZTYr1LwoTBfosM7hO
Ei6+mH48FEJr4DBSfcnL2F6mUWMv42Slgz2mZuZUea4GBNAvuqTsiCrjnD/UiTQnnRzYee/QCrm0
i/IYQugsvaFVAVRTKIbhobDawkPWmHLXljmrjm3qjI36/dNb3bky1Z+vzAY0AIfryqHDyvrjQ05j
Z7btWxe48dOlrmoTKGzFdcYUHYYsOO1CHX8Hj6c478cSHJWc9doluOU/aj7Czj+EAXcZsCoPuqL8
vrWLkD/F5xA2bw/zmL0BMmUUJtHqIBAy8GwO7PHL6eRUQqMqrOlFxMrCl+C2yXBc9HVP5bxum8at
+hJ9bNPBBt4gDIEbwtnCkKpYJKwgbpyU6acisdNe8aQLvnZRmp8Mpq5VYZfFjWNi4fll5rsNUH9a
aYgTO+VHJrvsCst8KK2RzoIAy0hZo5+lLmkhvrOdOvlEouAqGDLaq6Th5WXtl59rklor4oPAg9QD
AdvAmnFUqBPReRLa4tZHDTsNHYHPx6BvpduhkKUuTDp9YolqSFU3iNHDQO94Y9TfFaasrxtk8VB1
ac3nvimbE+YT8rkMcRcvfG5h8KzD2P8O2W4VuEdZaf3VpDz1isKQkzjPihNcyuRetwX4cQVN42st
/Z6rtmTBaeVXjTvAc1hgRuSHskv7Geuqco5xjyGMhgu7ArftIEB2W2BKZ6mhldcU8kPoWwHyMM7r
Y9hqSOdmKHKUqHnyrU9ReEYqWVzbtLYXjYwsMjdOOi6FA8yZAXdwnLcrr9jqe7QkJul+mKAobHck
NdCaWUDaYN7XUQ6Lo+tmQ9A2Yl4Bu+clNU2PM3irAla3yuFBpy1XkYkiy+V+xxXPgc5TrE58l9ZW
li4qJ54FrBnQx45i5mlToURFMJPqOa07aRY95f25E49j4n9surJOUzXoZMiq+9APCRlvTWf1PA2V
rMCU53dkSKOaVqqpmwYcyDqGoKQHurccF61sav8krbQuVESS/Bpxi55EA6UNhDYSKEGIhWQPcAHP
5WXAloVuncRdOXPiLkBuldTY/xCWyOH5cTzwLvSGPpH1uWNqCjOq83NsOreBvXDuWGHkf2hh6TiB
W4pCwISjsUnnWaIrqZISNi9/1rfacS0fqoLBk/ZRxuD+Nz9N3VA2nQ/hMk/SmfHBK5jbWZCOrhht
sJgZiVnjpmFlJao1Q2CujLbSdJYHWvywmpZr5KGc1AvNRCMubcsP/NOM8prbkZv1phyHYwNZV1U4
K4KQpzPftGM5l5XJ9HxInHQ4BoYxLVybDIl2eW8PyaLSpbZcgJV8tYp0xB4Uz8WpB/8i60MSIcvA
I8+yr1GayvSEAleRzOKwdj6NTU3pPAJyGp+FXWh4pnhIwnrhV22RXcNmTE+jYCTxvClAg1leJwEw
vrgfpSsiCAYvUjHA1LZgqVSej3FzWlHbTrzAp0EDEWMLcGpuwD/JxoiOD0kM6UieAAVSjw5pWJ5g
pNlxoHkMNFAcl9TTufa9EYgKW1ldVciryO+AQaG6jEYFROZonSE/YXNc+IEN6kpezPAQjvlJqHEX
zGLJwk6t3qew1DKD6RPQ0u07DWxV3WvrrwouFhgsYNljQS7xmOlRK9Eyi34eko40l04hh9zLZFlf
2E0GW1JgeAwCMqXwtHwd4ux2xEkWnpZDmvRz09kjkMF1UH9mEbGXdu+nvhIYJu+8yXpOZ8aBcw2V
NjhKvYSWsXFF58801uVt0nXgWURB1F4b2+m+F1VIj1veBf5MxDYCOlj4MI6d5FE/z6oWX459QdlH
U9v4M64teEfnWEa4NR54P2tJGunjqiekO8l4YMgHbXH5JUPlanJGUWkWPDGhueoHVgsXlR1gEwJh
k3q5AaN7BjuY/EIFgtmdgpWsPDgM6vMTCJh8chVVTRx/IiKT7KRnUddc1H29cj7Dob+yY8vpZ3mX
wkfn+Ti2qidpPS5QzFdffqV6B/YJ9CpSfMnsDL5FU9rwqMI4j0dXxi0snSIBvuNjVnFY8lUDXkEA
r4FNJUChfSgxG6pM0SIEWizsqr65SK2wMEqjpuznPfRWobOhLcnKaMBicuEbgQHpJV75yXWWfgG2
SJ6KVmuhRGjHMC+GwFl2GQU1+ioaPtG6R+YsADc3Av4gi6NrAbvFwmQIX5YyKG+BonVKFbJQk9Nc
BLI588M8aL2h4iUE5Xygi4LAY3URL4e7OIntq74xKD8u0dDGXzsnBVIy9a0UCAG5siG6TIDQdKBo
YqbJEJp54aTyK5D46TztiqBUnIGZG6ou/KTz2pzJNI5szyYVCcDsrc5s2pDIL1VktcEsIRksk9Hy
qTxhWY7LhxQM8nAqMEypWbey2LPItuCJ9u3YzmCT6cozXDXEcX2Z1C3stLRF4HqX0V+VbOVnawA3
/XSUdYXva5MNBmgzzNsT3REYqk9xOLqsC5zgpABYOteKgdMbgUeuL/qBJ9dRa0oluDlmad/ax2Pn
ADgxwmZcFEmc5xeZ07Nzq0Ysn4VllrZnwdAVQK/YJg0/gydi7pHMwIyA6TStikPTAe3YtaKEXWAo
r5OgxPobzkcqWjWCBzbcFDW1JAxm/GoWcisOTi2/6L6HAbJaN+HGiU+0RPhjbyx/XFRNafRMjw1M
Uk3qiF71cTLal6lTJIkqixY5FwyHrHcH8G7MrAsLQK0TmQ5UNfIUbIcxyQz3tK+8NiGiWoyihNkf
sz7g3uAPyAB/YZzya2cP+HMUVjDXYKeTX2Cup+YqkxkGA0sKGc1FGjqd6ptbIppOYBXHLb+xSVZ2
cGoV1OyC+YloP5W+kXCOFsCMnsEJJ6AJgcPQn2tax/k5r4qQXpEeJc6J3+dACem+t4KLuLKKzkuN
DzYDvLGmvkgSH/SvZBzMTSji0Ot6hE6GksG6H+AMWivmh3viSC70XZWb/Ec9PTZ6eWr0r/+FZ0u/
TRT42czpJQXzlGBAQO4noQKpXWC4JISJEkI4yiAi/0WoYEjVF1A4+3zy9B9ChUISP5bQYgouQaEc
RvuZIWBDl18gBpBkHM5toM3+W9gUvroifi0ysiEXCaKi1Z3jUDAAtSLrMUdaJCwfoCf0ZUrHdl4g
n8GZLr/lIpjlvPlKaucmHj/6Q7sgJZ6RUnxs6uDGT8YYVhinbsFir8yGC+c8Cqw72sU3KZgzD9Mq
WoD1/w6Ub62GDgxOGh2jIOvcosnnNq58N2wjcCMQ/svK2uI7rjOtqJ90s4hpfz7CsUCnK+fYD6rT
DMIzFdHwa2rn59kgb0cLGNBCVG6ny+UQxR9lSJeVg7/17UBcp+4v6ha86gH2Kq8oozM4XQmUnebt
Vzjx/ksDOX2WFUBbQ/jheKiIbuIm+QsNfDxhaXDiGyufO2I8HkvyF5xhX8qscgeHX8tqEY9oVsq8
UkDa3zShvoVD6uMO5V9NZQWnnBSeNMxNs/YSR3AInAyX/aAvITZyy6GKFfgj93lRfwBjUKrS6S6l
7qjKNTlh+TwqaxUOuUvIdVBeVHxe1PFtSSClAFRcGDM6qsbA77PEqNquQjeOiLjxma9y25jj1gH/
CbIVFpFvnTtp3h3nNW9dXzezLo8+gVE7d1A+zpkTWm6bJMcl3KtZWWHn1QSo97BCEESMoWu3zdUg
5DGKkKMQOM2LMKMPtdbsNMng85LENf/D3pktyW1jW/RX7g+wA+AIPjaHnLOyJtWgF0ZJVQViIDiP
X383pbYtyW4p3I/39ku7HY5K5gAC5+y99qHHV6ep+USWWSQogU85mrmylS+Tn4UR64PT2ImLrsKr
onITX8KALGd5GnmOpiVIAugGUedOfqKJN0Qmn+uIL+UU++NAI63cGvpx28ZCdEUsAnges0Bl3xXL
ddgFL15l7bkluk3f2nFGrDmy7flmDPw2DqiI/dr5PNuyjt1a3hpayCTHL2dVzgevHKO60E2KgYzs
VFt0r1l5ruT0cSimh7xtP1U1G9GVzqhqfb+MSgnXcm5okSjZ7Ye5K5OhVo+9aCowKkEYi7y4yVrX
iWEs7QralZuGw+JaZpwMqtw7tgBlE7B3/B6oUKqL2+Qb5ZOtRzVB51FE1cDsaNbOnVzMR03FsaPj
uVxsnI+dOWRtdyJo4+2iX6CPV3s2sE+y5fsw51u0EDAfWXs/tuIO1t0HUfp7YspD37hvpe/vFeEX
i5iPptUffAX/TC/jyXWao9OX535QUAbUdKOLYTtl4uT2fmIWKP9huaeNu/Fmd1fz/MBdUkXN7Bwr
PR7Hllyjk9ebfkEPwbunMQAl0brLBqrKperhdc1LcGhC+9YT1VGJYeequccnLPq9HOyLS5ozr4KL
qYbPrZgD4DD2XVu2j9zUx2yS5z53k5zPt4ZoEinc9EpDkBnFI1fB1uPlrvAF28+e2frDCA4m6M6O
AW0Dne7GlXzv+vZNYQ0ZHNw6zvtmP4TkiUyjjlEn6yS0+9sx9wCaDBwFIPQGsxRPaK12QT/E1dwl
9rRYcc/M2dH+x4UBsLHGtAvHjRbDs2n6XeuR96XlfSSEnS5t9iQwdR0M1YI+/NYGRg67d9Q2mBoP
e9/kOAfLLZa08fUx5P3JDdV+6vouskCSQMe5uIM+ZiikIlny85i5RYpO6NMAAxuWi76ySLity/Cq
QX2LVmTaFDWhqfDog6BwZqn76Cjrimbybll/Qod5nyo64W7kqWOPR8qtx4kMF4fSK6KmJEfTnTbz
+GJb/hKLigvcJ1VSd/gtGuptTM/FtmbFx8pxznNYdFEnmp0q5VYZVCStTx/wEM1Djfouz2XitdYN
mm8a2+59wPtUiOWT1MHd4nX8ZCC47AnPbqvCnC1Dsiirdeou3kda+dvAzuCij95Odr6bokGwdwqG
nW3zNzV3MgpMSY5zMJ9Qw9oQaipvQ4SzDWqvAXyTV7E9sSbyOdnBP3pqR3FXm+U09/w+a9qdsRYe
TSN7MKPY4jPf81k/dnU+oBm6VkolkgyxLf0Z28q09dzyMnb8XpClTZg/7Cy9bLuF7ZvWv1k03TU8
xFdDL1aNniYHoTD09h1EUJYSauqENSOcaTreVI5/bjXO+1S3lq1TSC0wIgvRYfP3g6Nt4AEXTA+b
vPajol6CSLABd+dyAnk2RxABm2ieK3SF8zbgJrxmhQdeAy5+uliijuyhFhH8wQnARvFpAMbh+kZu
cMJ4UQ5DM6lsHaOAjL0vipUlkgliUlQO4XCQeoI7as3vpmn3Hu7iSM1GxY5saOSLiaWe1o9Dye2E
zH6TwCkAtwahwYoKkIJxU3C41F11MTXtniQNQFZ5S2NtejZ6N+1oloNmS+VEo3aZiIbCXa3mRSeo
9E+j0xyGSlzbTG3cSaaBvTwUdXbL6+bY1xB9wEmBLWF9amj9lI1QWAI+pg0FNDioadu7mUIH1H0a
ZB9TxZ7dzDkP44xDRiRFP2y6DG66095XBO4yC/IX7KwPxGl22ZhfiDe9ZdI5Fgu+pjAXKRZSCeTK
eaoW7xiI4pwJ7cQ+5ESp1QbCzAE8TI1tr2eJ32QXSbwEHdBth5RfFBTLvuL+yZvEjjbAalS1L8Ix
8kqiYJ0ARvSlcxOOxV034cAo5zkpjLk3ejRxYakjEeOeEOuMFHaMUmhrT/UexgXgj3zPg/rIq+7R
d52jhlXbODhpHbZRrPqcySWVit9MGSqF2avSJctTTHaKvbp7K/LwZBkTt1h009Qf+1B/9h3CV99r
D/v2trFlCgwvDl05R07h7/KJ3LUrbdkZy4rh+0RzwNOlGTfZwJMwkyTqYcB2ku6K3n4amBtrCUfK
syBYBkAFM6xHYUC2zFo9afTunHpQ7xo7DVUPio7rvVXJhzDMtg5brgmU1Uh19H4e6caR1WNJfZI4
BdgdaxCvWVMO8QSdIu1y52r0yFXGnY8T6fwUFv1KMm5lKPYh2MoN59lxUMtbNXtXXUXxiUcN+dDG
YuHl6MUj2CfUUhVNs9lnl5KWB+P2aakZyNaO3GjXOuluWlaWYtMCvYsyL6fAHkmxy2f/2RvlfBdi
p0mUnk7TxPrEGsvHyVtugAk827bMNpWon8iA8gX2wka1g45Ni0/NMroL160HRn80lGG+442WsVep
cwWVQHFruVh2c6wor6EktBP4mOJ9oFOLErE2CSih91nNCR3qOy4miPtLsR8DW4Iz6E9Ls57anvs0
UdxokgAmaKYQre/swoASVwpahivdfB/kS3uqssZHP+k82lzD5ABoFbb6mYAE2a23u+8MkHsNTnPV
DM4zy7s7U7k3dJzEKXQM1KRqzytyb3NUNKVHIjH2W07KhBTqVHOy7QO3AZ1UvPes1NjL7ZQ77F51
5UF08qgGH3XmOKWt3T3NtL4NJ5C+pgquJOVXRSBBi7jz0Uzyodbhszs5t3iEc3n0HGnSnvvlxu7c
56UI92FLrVgSYbZmwAtbNd2UVHQJfLFhJzWI0dZUOB25WxDnDgamjTaiaSw3ZXp2bRkrx7dSm4ps
kfHPvaXvrSW2zigEWY15kjjjQ4w5+6GBsgUh0O+MuMiqiow5t8sUhe7dzy8ClPCbLu23i6yzdcCa
w//7wRlS2dQ4VtuKC5n3ljkTKwc3e9+N9z+/zPfe8L8uEwB0hMvvwhxe38Y3fmZGSIgugKBwt9/H
8oPl/Mri+vPHWMfpIr1I0GyCpvz+9dtw9svSL/TFjFhoO5a9/O33H+BZGfiG8EXhOTc/eNs8MNni
eHVxAftWeNdeePr5639v0P35+/nh/bu+ormFrfTiFluriBXdNEHiimh60zL525eCtewDKoBPiOks
P/wUmoE/HJdSXYjc9U3ckagCPOjGOIat6hf26Pq2/3B3v3ys736WdYl/87MTKmAu+VpfKicOQcqj
7+oS7Knz8Asf+S++v+8u9MOHMoEMy559vZAjEpNHU77BObIexdUv1tpf3JcYMYmgBcPpuKYtvv9Q
jmfsEgevubRwAfTLMKVe9vnnv9Ff3C7fXuLH5ba0Hmolj5iLYS8ye3at/2A5wwl24VfDuwZ39/1H
kLX2OteyzUViB3SCSM//weYFFAIOFdQfG7PK1/zIN7+8sQzqe5+WlyV4GYOr3gCE7H6xd/3Vj45F
HHgAl8FJA//57hphXlQGVm9xaVD4zTGrI+rdIDdRVsni/GIl/8W12MotYZwkCyj0p++vlWcMnIb0
zCVfe+pUlHE+p0Edlaixbr/8+P/KLF1/vT++pm2+xd6/0zP/D+L063n2zV3wp2zUPzXCAa9YyH/g
Y6vi+fXPflc8Ac2vT0FgcDHZV/nyd8UTwwAD0GDEcWwCvBK37W88PSKyBIMhgWesw0tWZfN30RNj
i7B6kKnDg44wPBLr9G/w9OgOsQz+2PC+xKKQsEJcC2edjadc/rAk2cTrsGd5f5GQAg9Mh+65MdOR
oZSNvb558JHtqWWndqYM9PKWl21t3fTzDFsbqCwcVQ3BsTKgO+ebjruHsi3KTa1bEdEF7GKgqLUV
enAjt8o3XA35Hn47iXmVAXgcW57H4VCbTRFUur+befUcQvaLLB/wcwDTU8aV3bqHYbKWg1eZCcGt
mSEP0muVzGtCpENUhIfIjIg1PTLTEjwIVeFer9mSak2Z2GvehDlfkieQhtYoCltTKdWaTxkaiyTB
mlkp1/SKXnMsth/CIYEgob5kXDgakw6pFw/xF7bmYIY1ETNoFDfWmpJp17xMM7ZXaM9CAPP1c4NI
zYxoTY7uy0bUhrj8OK7Zm25N4Qi4P4gAsHjsW3R4a1aHZ1aX4mL8PRtL/+O8yCHb1F6dR8BA4NDn
Leropr/NlXPHJDH9voJw2d0ItNs76AqxqXN/V3tza+78joRNlPdZMEROkLlbh44DMO7Me1dZP+7X
wSzb3qDpXwpzPcv2ynerg9H5VU3sI+usTdmOB6vwk3KBu7Lm0eQSQ8B6HY19K7rw+b+bB3YB3Fko
uf59Fuf+LX8p/rR3fP2rb/YOnEVIufgOGM8vIOnve4fzDxglqB6BktrwRXAe/2vvWJ8o7mGkEcPY
cPBTeIrlH3tHiHHieHQWaldgmjBT2N/ZOxAE/HHvAAGHMZjrUxZtBlftxyNTo+yEvMEuQ5irNpGO
8wE1wE4aY+EG5SntXKwca5hBZ/f7aUT0pSxsP6VDeOg8gBOQ1eiGy/meWWW97SXobUOFjlAYp7Kv
PnN7ohTibz8htuKXvZU4Vv/QssW9BZEzbv3Gz065O/t7OQWJX9swYYKhOYPe6yOP2/lmCuinLmvf
CZDxXTWaK3T+qyxetioVU3870+kmgPlyU1eFjrkaWUK0QViH+UWkYXZEvA+raA6rMCrwrtikNpL3
1o7KIEtlgYQk68UrNfbUJ+0aauiMHHZ+m/GIVwtYfweYgcoMvWS2LOGQgort8tDsAqppBHHyZhHa
RE1AIDmEokE4KWRR48AmDp3xDHT8Isv8MBl71zXFqk/YLx1QjKPPM9C+3QBMNZO3cD1i5ZfHwSJu
1PiIPYminrdLDlKs6ZuU9XUeN7mfpYRZH6qlhYHT7IAjsL1XL9dQ7OYE3tijUwefy6a8qhHnxR6Y
HxDRvfa67J4PRkYjcpuDCt+byt2TPjx72MGxw1l+TI0bwBcvn+SoD74Rz5Ps2ngOrfeJszzuu3CD
U+CjZ8K3ygSgZ4AhxNJA1jU+vpZBOxWinzw/CQGiS8HZ/mib8prN8kGRAIRcAa5SG4CzFmKXaVEa
wAJt++gP7TPzp7hE8CVVXEBd5yIHjFE/lE6oNgXRXjQxn8OZme7RKMfokAcnFgPpUrPQIfY1JBzQ
YtdVC8GeBKNMm6X/7Fbd05CrV8Rs3E3m0NcqU3KTT3l3MBlsaAuUMDfBsPEnJ4uXGgqzwnLd9ugZ
4RS5BdKwFJpJ5Tp7qw/DLWeFjB1W4kYo2fuMWLGr2k9ONUJ2AMWWUtmqpPfbd+Q/fbzbuYhx71cx
UA69Qbog8nPYSUEThnEtcI/AIAepVeYL8CVEv1Zhc4Q1yWF9ASedLs6Q7WzPXOeTufiK7S1LwKvf
4zjPxnOI12zd7q6qxy725+BaFf5jEBYXZWrEoBw5J5mctopSkDbirTXdU6BzkpRTh2pVVsj/BGET
l2EX4lAzm1JVZ9vut61VfIAbsFc1P3UFwkLURgdlz9e2hvnRQxcOxhCrfZouhbaXA2yI57wVV56P
EsInY7CXdXCyw+IK1chWW04HSAE2ZqnUEvl+JxKeUwaliop9L8XJ7sWJFtWzpoDa2dj2kU+zD27g
PfZNe7EL5W7he4bJJKkfQ+X1ksZ0MzLEgYqsvttCJDHACpcpRgTkdvSzxyXD+6urHukn4WDrwd9x
sFIR73RSSbXPluatBgGU2otGVia04eSWC2prX0UhvtZ46PJHO3NuutHhCKT0czrI1k3UAANX1eQd
sxSOrhAnAWo1mnThYFnXUJHE8+I791mG373JSqTeOm1FStJbj4XPcDTQ8jrmxraQ+aMLTLSwhyYP
u68GZ4W82XDT5P02M/b9kLdnMlhQkSt2AGFeI2Ne3GjIaVMgrEM+6g/C60xCOoTSZ5ZCN4fuP9le
jC5Lx74ZVapdiLULyc+LGS3UDuWUwH5550t2X1fciWZqK3y4vNpOuXxtKu/CS4pKgY1LArPejg1y
E8cR+t6uY9UmGBHWW+rlBmTZmCLYVMUq5HeTI9LetnZhVh3DsBg2btUcEMOAD0VzEI51MW+d0e9j
7ZfeJivmp6Ihm46Tl7qdxHay8x4m0HDl98UH5LBPS1DiT20kvQd300ieIp1+FFWzkwjO7KAgqHhc
fBFB89nOAf2MxNfZ49izp9BJfYk8Em3eOikAh9Uvy8TTQODubOc+Rg71uWQmyRRTMFIyRIvILuiw
m/Ju4w5YBAT7kYOTIhCaJZ4yMB7m4L7qxXlxvTfVYaMUjl8idxSAk5ynqFvEmTpjE01teGmgkm5t
d3zQWLcR0wjtBSNc7cG2ItxoN42HFJQfLOWWzPwFZ2eTliJHYhzFcor+wr8wZrGtFXj2tmmbJ6Ho
nWd6HZdL+AHmxLNUObA07AtR22Fp6KCi2EHoZrHZJydjGEEQNhu8v0+NrEuge+Vrmy0awS2Y7CZ3
lisYbl6SVfU1zrzz6OK/AXY6dlBMo25oMHHAKtOw6F8zX6FxDupXJ0ezLkMgRFamkLzMzvC5MKOA
z/kmLMMh4VPngrnu9XqX1XHGvKs8ILjLKmEi5O0RG+c7YMp5GmCftDDyYLTM3Vwu+VZY8iPStp+9
MYidvCi2Waa2qCPwG2TDHfUqGtdDHRwWK9hXXY6j2LgKBJUbxAJtSexbtL2Ei5vwuXhXRJUxK8bL
FCDA2lr8RBxRxGFXvTPL8BSN2vNYWjS16sLDK/kvKve8qOLWE8IG2U0DexS7OTjDszvk21y4HkKu
fc72BPne+qrUusz9qBGE80iKelhgk4V1/lWQ+//ehHvIUv2sjj6V7f/8Ew/f0W/tj4341z/9rZjG
CGeouWio11yBQ1a657dimjLMFXOhpwcOAjNQgX4vph33H8xGlhoVLtQz8iUB9ht9hAmDIYMr43l4
MhrzkHn/G4349xId5F/KCEEICS0/ammMQvlerZEADdloQnnVF+mC0ivLt+6vElo2Wwvyb5v99SoO
RtdjRKZrY5b1WtB/o3HVMPa0t3jyqiul0EnJCHTHsJlZnDm2SqWDxE4J9PQUcAb+uMplrBe4S9qW
t6TKb7RgW9vLxWkkpE8ItbyYMtzAYDVITDh6e7vY90N+FkO4Q876BOH2Buf3uV7KI3T7i2j4gUg1
R8Ww3gykxmiJWSO92XszIMbwlU5goMF/4z92ChkL3b8Lb2rgafg4YJsMlVSU4e+nwArBE9DMP4xI
zGyzEQ1AZ7VzJEM4a1O/lDX8NQPA3nYfAJUGwIc9B9lJMOUWIkxbQVTup3lfVzpFXhlzBEo6JzNT
ZN7xsMrknjqmA6PqsCt/budpG/RKRhPSvWjkncphD4tdg9qpbYDs1uJ7W1qOE2L4FQ2wAca9V3Rz
FpHJsy6stq0zXr9KWlFGyoInWVpmy0pXJH6fNfBhbZ00ARM7R7vq0E+1z65xvdb56M08aI/2XA4l
9ivntkS8bLrO6RrV5XN4DBs/OAy858/rEwkehwD7Haye5c7tTO/uWam8BhyVNy47lg+ZH5OxDT+U
JcLHvnGr1OqJm9jVlGPTUmNccz7vBxynV2HfB2mH7/wEL6F9aXN+nGaQIvMETCesxd6ykXmGGwQT
Xg/j7TL0B0mgNYYlDW/57FHUhrlI2Bzmm7LC0JBJubCAaRLU4hFe/nDCTzegbxMgQtDYJK3tI7+v
J3FA8An7PmaUbLtO09iE2RoHHoACzSDBYdbtRtcEST7Z7Q2vJE2ZVZzhv54H4P4bQKo3bulh2kyP
uL2vd5gapBLukOs2HO86YMAfOKLk7yXBeShV4o+T/16KPvGKNlFZTe+J1W+4320su1RpaMGrZG0k
J9iYrV+9tm33ZgQetynnh1paSeMMh3AqNthAAD0vW3fCEBg2JE7Y7YDDwKnME94Mn4jXn+vC2uiR
pk4DS72fPxvQTLz8jIwQTUZfO9sJ9HuivOHZ88UnvQAHQVypPXRI5CBYsJzswt473D5joFAy9uoZ
KTikDx2dGBak2eBvuM12mM3wPGVtygs0KzWpgRPyKqKgwffSQ6gRwYPEC4JrfMZbr+9RG4qFJ5iC
0cbuQMQ5h8ET55l902nMxoFkd0Rzg8Xc0a2uJ8BIGSo6yGjHEDcRKYPIDhtMamEnVjknFI+P1tLF
ygvuepvfmLo6Bfj3wQ5PwBNu8lActI2JMJkUiFlNkT0rTMXAPJu4R34u5g25Upb6WCr6sVLFAUN0
j7CrD4iA3ywjTcCKJzhVz54r41rX8xHs0g650hxo/Py5VsGuD5H/byqBGP8ECGs8sHKZ9/VizKFD
bVPMGSYb5UYnM8dcD29yFIL11TaDt3q7zFb9C7OHOn+xv6+pQTwiggEtxT+/33nzmWKCg6/FVVkr
G0VgCC1+mFVSFINGp+SMECGzDccYkX1RLW+0qtubulbkni0Mesg03faNPJEpS1QYPJKp20Lxe0dR
xlEvNU3KZUYif521s2BN60zEZQZJYJQYTeXWg50ErNsNJeq7YOljIdsHO8jrdKCdE1MUQGhC4rGO
22lPKxVEXWa2VMIpwMARjZESbRG8Alu76wN5QMLluLT6UPf2KajKE2vtcNuNSJ60s9jZU+7F7QCJ
JQM5mrtyC0koQD/b3rpzT2NMzDqQPMR97XByyjraRbKZPkgBiTj0e0A9M8A4sZi49jGuahLqPFTL
Vd7KvRq9rQeWMhGYNZEZjOboWbMSRAiVdTL1eHUClw7N2SA8Aj4P8y13ONcaNELo0Mq5xSio5qKk
voWyDh7BDDrxjSVQvJIoa5prIDNDUmBMWNQ08oM7A73kk3gJSXBEkg5tAhYoa5YN4j6vaOW2tEJB
6NJnWQBqcfzYD93diH3IacvXMgxOpCYDJkxZrxn1lwjhisjvMS0FQzAoYJB1L+tOArOhbKI3IHWG
iFnqGeOaaCzbWaVuzi/O4lEU4MBC3EqyHUIyPYQNZzxi7kRz1git7L+pnv5l5fyP+WNQ2vdG3pdC
BMYCpEM8zRXexPog7m9LBAnkZWoGxFuzXiSOPDT2rxKoq9v4RxGClwTDDeuehXgoMKRD+oMxhUyr
QUvLMdfCR7zSv4he7ER124wSK0HHwkdqTKY//1Qw8n5x1fVzf1P69JXqIMVY1pnM5g7T6NDD4v/g
VHziLmoPKHIy7pj36GfOHriTigeEEXFXjBh1YcM8M83yVFrBSXQuiZHw2OhwpJ9YDoK3IPKDjwYi
4QqDa7T77GdIB1Lt+D1WkynTfglMyiqrTihArDgw87zvEa/6VBqJ9nEpEKAR4rPGWk0RBMwT7MBz
0sESj4c+vOtd8HfYDz/A0oCAw53rfO5eZRDucCjdt02z8ddsie3JnUNyK5UEFQr4KrOdl57EdeG7
STOiqw7EdGvnJjFCDHHtcD/ywvmIRf9et4gqt5XYN661m0f3flrko0vUwevAdyOmz2FbODqWHXoz
JIj3apFHe0SUZc7sxNGE4IBR2GXJ44AONRKyOLN82ppmTIdswQomqeo4QohOlZSyYFG1SJY0OjuD
Mo65F+xoCQST8ekuRyceTZV133doJR0HbhFma4BZFkVE+/LFX4FwUqyKbdwgxhW19AD0yIoGD+Cq
AQVUUfrBzPluyqYJDk9/VQEuSGTl7RvQwKwmPXAtFtWeu+WVewrAw/5iuf1qjf+gjI8uSgx7wWqT
J3PNr6xNfawfxu2y93b+CShrHn+2wcgd6Nl8HI8/v/j6sJq/uMECaOewfzE3cX1z3yx1WoFVVMy1
zlXiReZkx9UGLBY9Wo/BhqTkw8WKT49DKgETvuB/9NV8ItFBbLIriLDFL97N9wff17vdwfAvICg+
2qjVFPn2zcxkBPpIZX6Vk+vK0Qi8PTbD7uef+Ps968/X+MHDXJqit/IcDlZZv/FmF843P3/9v/wM
iJkEIGocYEc//JrFhBk1BFHVq9K6rmGuNR5qzq871H/bd/JTG+yfQFLN25879/Wvfu/c8QSuFcmA
3YWAEKzyPzp35IlIgNEsACq+zFrBUv/NQkdPD5TDwQM3PZwyX8yp3zp39o+1pQ+AEiGHBIP9701h
+dOsAjxuAuPo8AbZ2lbjpvt+ifMGnoF0mL5YtH7mokOYstef6OztNYW8LLGvtU2fBh7shQGDIR1+
Cuf6amTocrOxqPeFqAsQolbcBL29Qb20IaVzN4rBTllQ9vHAcYd2WeJbJVLJtHsQzK5iTfUp92oo
zlaz06p9KfyJRz11XzNbtHFlFRip5k3HiQ2vqofCtra2CcTC1J/hGtHZQIjqLbSdhTclyO11cdCH
0Dpn4sddaeaNKSHcz56XAJk89pOHMxMpBwdTGBIEKl9L4h8A6IGXnwDL8KFVEQ4nDAzD0AoThNdL
SB+x+aOVZ5jdlefWCN2xw7/6EgOxeGVHRcGzKMjQznSbOSgzjKsCOGCP08OS83MXmGMFaTjHZ0Jk
Bt5YYdu3o1AJxIMiVcY+Z9S+z2bdwY7viwhP48QIlnZYsxwWiyAF7QpnFpAWq0fmNVbs42zqgYOD
G+d3nS2rj8gRP8yLOx67dUyr07VbTUcMC6ibjxNHWNSobVGNfuT2Xhm5KHIxDxMdFeiac87tB6du
MWVUjBfLd/1UqX5JbG8BOBzifOFNaG2tsr91rPzVwyzYLTLLMUUS+Vj6L930grg2JG//pZ2dctsj
c6R72EhNBbPrIaS5udNEV+pN8OV1nPLbxYFnFfQVui0FKZe9NFReZVjfEBoN2U2dXV7sJguB5GXt
YQ6z2A0BGCALBOtwlhHJiYhzN5yvHLkgIinKYtxi2sPjaNB+iCI/O1P5hgQo5OySh2hPoXUs0Ze9
9L/7HMGp8+/t/n8WL69l8xf7HP7qt33u62bm4qiE6f9FUPxdocRwZWx+ro+t5gdSCOM1CbRJIKRf
hiR/O2yKIWsZwMvAPKYQ7jxK+b8hUGKf/a6sWEkhJOYJpvzgefHQO9dnW357kpeVtyhvztoL0c69
Kts7u/WOhdveqKmCNTy4iEcRGLXU3ckZAwULpTLQ8z7GLk49pIO6QiJ8xqg8zDC4Je4C06wKaDS6
nR+1C73pSI1JRSFey8DHSbWs6D7kjR1Vub5rAtjPqKVZRMvpbNWkjAojK/g5gxVbk5clQRfIVK+G
SdON9RUxxX0AiugcDIs5SdvuQBWgA+MZbjFbB1u3RQ/IhnKM/RyK2dKY+9wwIEBWAQMDoZAaGZuM
dTxtFQYdBG7xhnE4DxglYkXa9nalY91ZC3SLrG7Pyzo1YPH4J8RLJQrLHoOWyzE1zV7SE+XO6/+y
d147clvpFn6V8wI0GDbTLUOlTtU53BAtqcUcN/PTn4/y2JacBj7n1hjMAAOpVVVdJPcf1vrWmLx3
ht+78aGuoziYcMx47Tqw5llyJjfFnAf6KpuwWbJ3tK6Nx6L1y9BPJzwmE/xMPlA3RkfZOedFsREk
VKGyXg69dpqF82ZmFraGjA56MdXAtc3LLqadLRl+iBGiYz1rN7nVFfjAhpAZMV+JYWOcjGN5tDuh
egBC7vR4Ereuknye9epWVg58gIKSP9USbae3Nf2BPeJVsDjKmqjuwyLfWJY50L9OdS71NDkuQyo8
zJhB5lR3cy555KyDFrYGRCPWuDh6XFAz6MbbMG778T7uVcOPNPc5VuoM52ezb9XsJHP7Qbjru6bE
1b5ccq/nsZeNiRvUepJ7DYgRrxENTtNx87e2J0Pjs6xdu3cNVux5pFWUmgw/752o5YVZqDU5sk7R
fU7rCf/gqJy5wN/dmlEsW8LqlOTaS9eOVx2IlEBxBMyvyfiYp+FjBOK5k/3MqFU60cGezU8lt6hX
81b8HGHZDhsA7WQsL0pHPY1Z9tqs7sXaaghf6mRfT8pli4XJk8yF2FxGmlfn0eRB4b7us5XbZ3xI
4uhTm9jOoTLgxGRKeY9ymw5IH55bw2aV3scHx8RGsLDwr2FL7xxZHa3YfOwSNTmNfWWxJ17v+Ten
y5ZOCGxEXYd9bHX+N0TIiFtup7nblzcbi69akRVokXiWjEP8cR0GT0oGY1IfZtxSto1ZJMUfKQtg
lLOsX2I1ig9VknTnzDJd1AFtMFeLtnOG8snR14zdOEKbMdM8qdcgFo2mCqMiGyBE5Cl3ew/FMWUz
W2e0tswTjurqqMfWwZihRcWejb3A/2ssHo9F9v2QBWTWr17dVgfRt4dMsYKsXpkTZT1ywEJBEWSK
3ocgwmxPJHbgMjDtBfvnbXKqCPOcAVav5fiozdmF2Q2n2liuXdHdj/Y4IBsp9wk7Sa8qoxXyrnY9
zgN+UbNCVZycSzHc5vH05OSQbsv1RUaC8xaCnVfW2ROUpxPT3cMi5cPWoHvtUKmeCnjTc3HH5LIN
bbWrd+XCvFjv5quoM27ziqH4zMzX1puTzrTVW+TwVZjRWxprN6LOriF/nYGwU6ON8lMUmRiG8vWl
SKguROs4IZiTN2Zw6E4W9qC93jzUibiYlWZbKHPV4Jha8idjyMxDigfO2LskGIdJDaTITOvg3yP8
m2JP50j76yP8+r15/+MBvv3Mrwe4jihPQ55r2+TbbNLc3w5wcudw23JFaJzHOmEG3zUqDtJbFL3Q
trcznJ/6rVGho3D5E8PU0ROSjvBPTvCN3f3dYGA7wVH9YTrZqGpsUr4Nqb8bDHStLIXJXOIGTBiz
FBxFG0KDp6m5PGpZu48S57OAvcuef/ikDlyeW0ehzuJCmlERtLnyiFg3UM3lylwbKAJ9udOjoodX
nN5YabFbIucMrRQkojbokOXVfT67V5NhXtZlvYc5cxgyHf8gogHHApvQxZzqvTXdW2Y97HpD+1Cs
6oIyBH3IKOIrexMTKE0OlKg1w0XvTSyb6r400qO67f4b3XmyG+OMz+/GdAEPD101upfGWDzl1rKP
5pyWxXRviyy+j3GDVYzng8VEcBYXtRosvfiY6jjj+B4aQkB5ncUc96vSEaFAn6BYuP2UXN3Fs4bD
u5gSvM+p2vt63JwGNc5DHUkh8QG2G+RJ66eFuXPb4lPM6LRfeOvNKPdD26U5+rRsP6/2xtRnFzbl
h66qwjnuEXNJHoqi0I5s+C7QU6Yn1qqnCLQDRxf6rygHIABvxncn6x5kjLVbnI6nXzXyKdxO3DjQ
Uqpp4FBaXSZ60iyOuPGvrdzwjarqfdlHbzJ2HjLFMY+pYhzEEn1gSgJpCxsG3TrMWQgOnl5XKJqF
ONRJJOEWluoD6APpcegdsWzOgYibO00rDlQctg+DSPPjFVRRncroCKyAiAyVBWmTIfXD/ReuSbqE
LcQrlJj5Z/h8lT+2CO56ZdXv3FYDqmnmIXy8dK+oWhIovabuxgn6NM9hvbzKrYhjblDMQ7xVLJPi
5MfGISrChhU+0tx5lm5n+742i/bQybiG8j45ykmzki8UFKi8o9w9rQ1CQ63ojl0bP0Bn6Nhh6Qeh
NL2P3SOUyWCGI8oeZ6zqi8rpNrr51xqGryfW6UKdx5dG4gaHg/U06G2GrdY1/DFqCHRwVJQpFGHV
fFmWqvA7J7tde2f06zpmIWJeVavDLaE89ZOm+oL9a6Y3vOtY3NjQuAdH25lpVnlSsH9xc7nPbP2y
sDhpVLd/WxtQb2r+6M4ouEozOsZ6a+7BLpR+prVp2GW13KVJxXoipxdVINfH4C9d96oq3EOPH8ef
bOVLGqWPtbK0fqzECYQ69YuRNk8j/ENl0311BHG9j50ZKpryClkfkU3v0AcSG6Ihabu1cvHWN+OF
1Owv9iovcNper5q4gN2Ofr82b2ZKoauqK/cFpK6wsa0LcEI++xPVU/TkbqTi9AgDfdPth1wJxeJc
NGm6c9HEoXFIqVAY9KYjfUCfF7dOaiu+XnfwpwE+sxj3ca6fE/RnvmX0gTFFQZlmoaJYh1VONcce
ZAtqddfv0AQUiXsFz/xoj/kN3aw/CL51fZIXoz3H+7xc31xr7Hd92fmWg1q+Y76vZDHapPZymNaj
26SfdHPbBWlawDzf9Zo0u+8L85OLii4YZom6rLWfYqWvfK2MuInrZEa22odly7PQc9diBrgFLfD6
3xP324mrctj99YnrDX3/Z7NBfujXI5fGGCsMTF4VY5tuceT9ouoh6hVZDas8/vNN1/PrkYtEnnYZ
r6r7WyDRL0fuFklmcpUwVDSQLrjiHx253xxdvy27vh25WBcR6hJsSHTG9v6+b5rHZpZQFhPjRs7s
jdZ5PE6sFQMNrTzjlXZXG+zXun55hgFgBDIWn5F+X/ZUc4G5gdSyGQdH36G0AzvuVSroiEztPNAC
QzDL8XruLBkIt6t56AyfFrd6TdI4hO53l3PiVEt/Qt501zZ01VkLe8RtdImuW7+sSjiFsWI/ytyt
/QLvG4iz6JEopGcTfiMdDqJYay5vzNi40SYrdNv6ZLN4zc3VOK5j1PlDrjv+yJYH1nOoO81XLD53
wxSbpyqO9s3SfXLShcCilXiAEtULwgUPmVHuWahuA6OJfHVmumk3ydOkDW/5PAo/yZMDgQKV10ib
eV9idMgLud3SxrjOy/YEDwedc9d9bUc86rNS06MUDrd7xywgbm8yc2xOc9nDJUvps+2yzkGvcZ67
oDeupcWpT5MHPagV61dHH/PrUdif15RfLo705FaHeuYlsvvAGe9eZXVxNF2FsltvFtA/0rmR6VyG
tj3xrUFn8bq4j/28RJRLI5l4NEHWnhSkGHgF0DiBluNWjcH2r00WI9dBt11Wmy544umVlgbqwqVg
bWfMRaiAUNlnyUYv5tlqWDOsPBoLkHuRFgClZzwoZLqDQBPtxGQUYVf2OsefUYaVkV1iBbpY+wwF
t3bsl3gN0tL5isfb8jK7FKEiUyNYhiULtche9kTvFKGaEe7RCg0tQteyw89I8snmbti76ImZ5Xbg
iGE93jFCdPZDYyahoeHBVdUoCkYk+540DOW2wILslSuftJ0tLPaWau0cnpF+tkwkStSsShQIkiDh
8vQEnGnaY8x4WHR5Hga1ChPFWfAxNJ/qAmJBmlhQSwk5ODUuzU+sbdTtdfsVpTqrMgqVxwpcpic3
C8WymSn0OUa9sBksTIc5TrKZLlJ+757RKcPBmRh0JpNg7GTj08g3w4a6WTfGuFQOap/tBrMIo6ii
rwWc55Wb5QPnTOkxBkBfm2EI6TZriLWZRFbsGtk83FlTmePk35wkhV5cA9ztDzAZv/bV+qnXxmTX
NwS+FG7RXaXw9Xxjozt1rXW0lim6tBR73DtRJe503CypW/cKYuzN45J887ukOF8m3hUQHUApCbkk
0knavZIuD5oCLmImAstX8dBUm5lm2mw1Lv4ahseL14Bohi8bh+lmwlGEekgN43Gkofbx2j2UbXay
s+o82dJXFPtKmm+RrV8MtTW+MIj6mKz+chaK4lXMlgNnGqbLAbjqwXVZhqcUsvA91EudV0tQ/46j
+NrCIvW1tbhSJ1XzRtd+Wh3K+zRbHUbx5RdJqeOBnz3W2XILfP9yMBHX1lvKV1U69T5PNXibY0Jd
t9SAXAjLAg9fHivJisOWhrlbFr5CDSf7oMT3xRy9qfXw2ggeD9gjxsDOu4t00t7nHM6MzA1qQ1nH
O23QSJoyqGNFtynwNyaRhqVHjlcoLZ8Hi0GZrYgzQTAOriS7Ojqmyd/s1YzeuwB/1NcXQ6YewBZS
uIpol6l1e5O62Acy0LSeMrtBP3cfEsWzZ45pADnYesViV5ohlfRVpfefa2Efq8F8gVZI6V2icerW
TzCWIQnX84EPXewSnQKJsIqgsOzrJOMp49YKkwOSOVwC0lDLHZTWYiffBhkALYTR0y3yjstCl8zO
0uJTD57MroxrLW72imj3MQRhvlPKQY3/b74nTpr6Mh2+ytQ+gyTvUcUvx74USTjYha+I/Bbqq8JZ
gM7eWC6SvrgtXSXQ0uShAGOfWHiVBlRSQ5k+FGnvg9zsvCqSNpEY6yFytMt040khbJGu7jNX/oiG
isrScJRlLx1dOkwiMUbEVnWnpmiV/q2NvtVG2t8uTg8QjWDS9X+cSGw/92t5ZJBSQadPTNI3K+D3
EwkCLKiCWI+qBnKETejzi4NwsywjUduiW5k5fDMm/6c8onJSVQ3X4favqvydfxTKaP5uHkFKBDIg
RNRYptl4bEOR74ujfuCqBt49nQf1FMOGW+5quf+uYPwzOdO2hvlu6MGnYHJio9Fn1s/Sl8/744to
SmdkWS6bszG5mSo9YUpKkMTQK3Q0KmPfoK2tOb9d69RyrmGQ2S9dbOv5rcOcw0/UctaJ52uQxtXH
NgFVGhXAYtJwTbXFG1bDX5biHIFuL2oFxLzL7Vrf9yrjkSUhEai17+ZUHvD8El1YQkJOey0wRXsC
aXpDS/upWPJ3hQN1aJojD5aXhRrCX9MELqIMHb2AXgOIVpu7r92wWezSCckxZru0BTqslFrhgcI9
tCNgQNR5j8yRW0NyG1YvsaUeQdASRaY1J3a0HwVBFLg+hNcs5UfUsENxyoa9iDpTBshuhwUbRZ49
BU7VUZ5OeHwaW/00y+pkCKUMNFE9jFp8AkX/2M0JMUNp/5yXi8T+NH0mgOi0iK7atVlzVSXzFLit
bRA2GZl+VHf3xIojxRNsDlAxX+GrA+UhjdticmMf6fCLkhmEJsLmNXUMf47ef2UgypMl1WvPbutz
VYsLe+pE2AiwX0XeEpZF6oTXoCSElTRUYdroaFxHLDqiWZ81WIHGZrLCN3pn4h1hfVw8TCUmHdfJ
X4GXwVebmiOM5ey6oEf3EyU/SSVl/aO1wtOc+DLuPxtZvXOJ7kzLSffF3ErfLarnaKVYjVoGB3UM
mMoZuqAfCe2yzc9NSjU4LaC8bPHZQSoWOFn61SnhT8YCNGTbuw9xa30V6eRv5rq0NSdfk9kh0Vmd
aLPj13F5HnX5Scsy9OuiJ28zr45FChpd0MASOURzaxBrKWQ/hQIono/Z5zy4yiM6cE72oj8mRtKF
uCzvsdkQqwSOzicxC2MXD+AxtsO15vtznexeN0aGbdjaZ3d8zlVK43SxvuLceTM15hLJpBvsDRiN
4cDJryqIkX6cpY3Pc+UxhmNcCbNhg2LcxORdBUmNfl+bgUjCDvOaqR1CMH2TZ9vrKwOdB2vkfB2z
6kPQU+zGTn3M4+JRppVOMb/58eP+qrSVr73ivFIYCrwAiW8bmmTnEEEEpiiyaj3sjYVhEPLzIpxE
10YEKY2+i+CgfTDjiRAw5hZe4xb5Yw4F42iuc3a2jOmhbfWDsjYfJRuUNG9wLtTNF61vYYjZ9E1D
76S7fOovhi5F/yZ6TuUIxKf1VLnhvF+SJbssNw2Gotx1Q+biS82KlqO/JJdgnJwLxcY3RwoCEJcC
j9DK9RsbmORq40pIE0dnhyKA2gtiGoq5pLmWtf1CJthHqmJgpLEkGW/VdmXR0FghzXPE++YVQPR6
Ks3hNR4whvHMuesqLWQ/eldrxnFCs0yNhDokftJz61UyI6s19cKd4m3PdYZWf7XKfrcOJAW6y5dh
BPGf2FmQyz4POfr9nMWrLTs2LI6565rx2t6wiG1eeMa6BklqTl7tsgPLHAXjq3Kz9N1Tmbo5EXby
Q7L80dv5WZEf5sCVOFr2zhD0HH5UTThqMbemlZ8Ni6KE6rjYTzbS+33bdrqfxTN5tU7TN9e5YbyU
tVDuMVCgjK5IRigynluAQ0WDXYSmc98vdec7BdWgY5RPeIR3bHpfpql4kq3yqpZsWtTBXM8ceO2u
K9r3VteOSWd8mSPnpl1ZAZEQuVWdOABzwgawYmElzYp0VwLWehCls1zFZXKfxvGnTEcuMoHCvejW
xQ6bEp10VKmLz4jstdL5FqfkIU3rDJc2ZvdRvgygvO8dxSh3EXgqVo4t+rqUswc+PM8AhDZ4xIYG
4FnvKA9A8TCbLFiZ447NE3e5fI5cOQSit8sDd7MTtEUfCGscD4i0p32k0+MbZb3sp0rFGAhPlr1b
nnKzp+ZhIt/3IPMRln1/J0WCeFrbZ6MYvVqJWHsaLM8t7aEx65dOm+9js7OOrhheapc+VGDr/Hlg
9ZcBLptK+Lexx7dD13EFOybLwc1kqr872a1iYDSvt8O5dqbQ0m5IWrR41ya1biae//6I/7GK2F5L
Q9+lwewE2exq9u+UvVJiSmbKN53xwUb5U7vsEuXp//cS21v4bnEyFRhjp6GYzg03Jvt3oJdvorn/
P7wIcTew/tkSoZj88UVkQj5yVk3T2ege2vpyVtgKHv/+Jf74tfCr+u4lfjeN6ge4/5qYp7Nw7st2
t5Y9UMqbyn7Plv/ySr/ToP78pXz3Sts7+e43ViSjWVo9H6bFlKlVlp/op6G8msZwLE9r+R9V0V9e
b9sb//F603DoQcpgDGi4CP5+fLk+zua1gxZMg/OiEc1oWw9xcrGUL99+f/+KlzZN5V/PYYnKex8/
unf5x2Zj+8Ffmw2aA1SYaI34GvgfKvFfZ7HqT65rIlFyMUxq5iaR/E2nyeOBSSxxVKRp/bD+tH9y
trEpPQjoiY2D9I9msdBNvr9ImMU6bFhdxk+wlXTXtbdO4btrsoodhlajU9+o7CgPDTNK1iYba2Oi
VBsXeDy6vJwH7C6GynHjzsO5yiCYGFX5qYMvEUhFHpAImKFrdIsfTxbUScHej0Eg6ZXKpMPT5Ii0
W2sFkTmX5zZ2nxOwsP7YGYY/q+sFmSiXnSkOTo1DyVSSfbs0z5ET1yAknKu1W1D41fl4GIr+FJcZ
HkZhnlYH6Xss7CtLFxBWmgEMsQNT1c6DCqdbr3bv3BoV0RPx01iajTcRUUYoDxVnPq5XVmU/zxHZ
LbgyXtyifrbm8cLNtcvJLh4Us7zqHYwtxHQ8Vh0uIkUjbimatgTOuwqcLtDkVz2d/biNd2i0bMSs
zSWZtS9su69xX2deYs77cUY/wUUBnATlQzVj6lTsPkyhqFMPAps2utkij6hdQsephnAcNyxMBgpt
msmKiQ3WjrhcEN1cTwUqjRij157TbJdZLVqiEWporlW+oq9nI7I+633zkA/LbnIY6hhxdZ4Fi1Hc
U6kOpTmy5dka7MekjWLaheXFStGVppPZBGwMcIJX2MuNdJFBpduM19fbbq5s+L7FadaKj2QFtOL0
+qOVdBpRJXoEMMa9yUZbvy4i+4AN8L69FgnbSSROlH3WwjGvo/BJbbaytCdh2q8ZVWo/7rvBeUks
JqtDS5Fb1OkeUXDl5WX9ObetOsh6pJkECuwKh9ANleF9vxxSukDUsdmnrjM+aGxZU6vxIW7FdUxg
yTy2dJfqCCRnKcSTYRItSuAdRdzm+6paakXrWJjalTkku86JUf8QEBUuM+WWHrMYd76JSCtz6MNp
VG7TZvrirvnUcUBD3KIp3q+tYPOLuEoore63yK1ca5PwYNmDDmA7AX7qg74ptOpufie6CFo0JbAs
QxW/BvJcJlUIu2oD1kqyab0YM7ewvOM5zO0BehjxHIwNUYf1BbsJwyzuXEC7FuSMjStxrFzrMhql
5pWbyqyIM+4Lm2h7h6p3Z2xqNEik6o745sJXyUC5WBCtRYjXjE3F1iNnczZd2xa3d2wknyXhMPKV
FVGSQEYFUfKmrrlTsk0jRyF+jhDNJaWqBs2mo7MQ1BWV9dYjsJP1bSoE2He0d45TRsfZqq9n1ACk
L08nV6+/CLmhQFDulaJsQjsH5KLMSh40m8BvMjdZY2vGQbIqe/RX2fqmb4rA7jLLjhKVYEpAst9G
XAZjGb0vm5RQX9qraBMXVqgMZxC1ADEU5uLJkxLnH/nALQMeh2sbjaJ0UZBvokXXIEmQMIMHgu2+
upuyMZ657oxN7FgDMhDU1qgpUFKNcVtdKvpsXmnIJEk4bq9Ji1C2KDdo1O4aBfOmqxwiFq+YMbcu
cMRZmztoAJknFG56n3RczaaItSNE3wQiMd848VGEMC7rbR01FpQSgzl9Oa6Q5JU7o+1wjPNKXrK2
NJObLhQIWbRjo50FdduLQ8L3talIc9hOyKzb23LjPiM0VSP1Idp0TJo+nuBE6CF9yZyyf2bPfNMg
znjJXVhEoYVNPPPlsKVcjFDL+hGiMhK9qIJhl0IKcuNE/Mtd+Dm3RaWQ/puaoGaf8Cd6qO2nfi0I
NBAJUBiAmP0HN/ZbQQA9YZsw2swQxc9SqV8KApe5JJG7OAMp5LYB5Pd6qM1mAb7hZ6UUA8N/oIfS
N2XVd1Xjt+Wsqjnb8JO34KCt/rEggOMSE/0ViZt8bWwC7626ND6NidFHN8RKGWXJslXRYfNuc/Ih
uV9ELLzcEg3HBnob4AMpfPc2Dwe3x4NtlupBnXL2JrPBdnSs37VljeEApO/woWYsosTAdtK6KMqY
VK8oO2ctWUpxRBVeSuGNDnlOzrKys3HZ6uLZiLDE5iPck3IMkw4CUWIxm6ho/TQ7fR416zY1yH4o
UDRA6KnGlakg9pNRLXFoZ/Xtio6xtuojD0CA8EVNxgz0F98lYYptzvruZt2tZZHVPrBJQsCon3W1
L64GsdY7QtyqAHVXTX5i+xX7+PuQYREpFZgAyweHtomSCgexYsRBQaTBrIvnpoqRulJNHIQkNZPK
CiFXoyWeUVNokR/R+do4XxgrIg69Wz8GJ9oN9XihudNeQxwlG6zGhgw7xils19AK4X/wu9H46Fkt
5BN6TVf12JSTfEMkDRIwbDMRtEOyt/GsPsCiqGA4NoeSxcVcZw8Fi4y+r26bTr1IWHCQGkX2mFne
jnylw7YDUee0q/a9ojk7x2pOmll+qmSC7NmOLtmxXZIEWPmC/aJ1oljtbrWZ/esbRtVYD6VRx9Ut
Tvel2ZcaO49YzdUX6I1u7Vlj/hkQB8u6boJsMXx2ZbJDNhjDY+eP02H64EiUOH1nyHIEpvRLci2q
yAmpHJdd2ydfJ4VFS+Ysr5bqPvTrfKuN2pvRNSeSa17TMXN9y5RGaMfiS6rPp0mNl7ciaXMPdhYJ
rWQIOGM3eqaKhtbsbolJO9ido1ySW/qwpHws5r0I4mPnJpoB5+P1QJNqBkNCPgN0PjfsMZQfVvur
ltWC0L/+aexJfCPFRg8KEgjz2DX2ppISKEo0a6MB1ypBASl18jkm9h2cxLLunAmVfrZAN1LkazrV
h5rbxq8ctGYkMDJflitSZfxDGulm8yQiVG/KGdXUS9erJ6shxSHTs0czSmLyG3UbqTpCYQJhySs7
FHZuIwEHaM/Tn/E6/IAWBENi5V9lQgRLKd5HycK1QKScL9k10u2LxmDWSTl3wXQKbIHB+DND4dsl
4AOyfpz27UzMGdh9DaZB8Y6T8hWuVFgW5lGV8auRG839qpA4r2w0JZwAj7aS3M/4DlR3emkTkR6b
xD2uMxEusdNcRLV8sdjtEp58rxBEkxjOjeLK20S1PhqxXpfllijCtblaC1nwWjUEJMnejSO7UcL3
0BLuuyxxQ5SUFcPt2XqTozwmejbcRQ7MeqAXO/QHFxZxDOG/7e7PsiPmB399tAUfxf9c192fSo/4
wV9PN+MnkJg0rttMBSs7B9+v7a5ARQR5GaHAfwyGv7S7Wzi8CgZEJc5MfItA+/V0E9pPhoO/Bmmu
BZoHsfs/Od1+nIqZwNI1+m0X9jBQXwFi/sezrY+GTBZrpbM2mQ9qnoL0Id1kXH6+RP5y8PJ7ptC3
8ZtLj+7S25P7TTbwjy9EInCO8CKfzqbJHQyczRGhuQ6nMiWhr9ZjQHvoEAPioG7cZbhs8+bR1jvy
MrFV+BO5umHeafkFGkQ3AKxLOPaCkFcxWaBFU/cyyabxSyfhIb8phhJZ3De8oK83xRn8PLeETVga
fB1yZ8iRJIyj3NQozkVbzj4LPxSGRDYGwAhQ2eTVLrLGnS7MPhjYFgQSxlBji2fFsUkgGVyPj/lC
GEyN/d+8p56+U8r5WlFI1khhOagTG3jy5I+dO15PURmHpas9cpsXSKDHMdC3h8gw9rcEVe4mMTy7
Tvehx/ZbXC6v3dZV5oPNCbWkZ7OLLohYSXfYVA+WG3V7mXR8Q133WFvxIXUQuRZJcoFC7ROZb/lu
LNUmsEbsjEU9N4EybLIX6vqd1q9vGhwRfxXZjXC6nbPAvCTiK2it/G2wtUfEsVf1XA4eBKI7ux32
JthCGkkFbRXpwZMwIPgQAM6QzrxXlqZAGosr33bf3J6GzpgD6KGtJweRe1wQZAIZaK8lKUj28NVZ
aK1Vy7xSRrgA2K6otSk0NHu51iciTBcqmwkM6S7XijOJodnOMHDCl+KK4JKYFDexd0d+t8mEEl2x
zJGUOvetQj2FCO4OzucSGKt8IlZp9WPSIz2jL+7lNBw1Mx8h76if1QLiQDwtT0WamvvZWG/0GU+M
TLKRoMvui1boX3RCqPx81g51gUAUNzHVxLRHA3dbIoWd7dq6tA2gI1ZRfV6z5iWxZeKXVv3AOZ4F
orXzwzSQt2RPvm5EOyQu5FhyieHTEcjCNUS67xWZVd1udRRSr0wLaJWmzoR+eYvekZwqJgiMqj3t
NGfa9CzdfALGhUlkgbEZ0UYJ4wvi52Nqartxpav2UJCPT7lpbKobFMSrZ6bb8TxrKQlsMIBoCzUE
bP02M3Dad6rROy1XPhjM517LCVNzNaKzGh/mWPaYgqYA4TnkkdJEMTaNl05HcbftKsw0R+ICtGWj
Zk+vVmZLtOnNVZyqEWkEMxXwFhwrLwFgBmMvD9PUv5CLTsfnZv6YqeTr1ui1uWWNKgcYY14UinJc
CwRyMF2TcJ0XpIzk2ljTUnrZlBnePGh3JDmzGus/cupUfx5QHVnNy9SFOPeOieiI9AVGYdnvc6a+
reaS+3ZBjOtSvBXifpwk+q/h1NTQDBXqJNbJOhQV5H2C6EDy2ydDHEaWl1BsqbfWZtwbNrgNVWP9
H4/irRKIjud6CiKlQ+09NftBq26WenrtatTJ6SKe+l51rhqF5PAH8u792BFddKi/rR2/O2DOP0+q
v6eu/M5cuT1FOS4EhRyzUTqm30shpJSGIJ5nOU+Lb3tiH53m+/rqmJGM9l49N2F+ZP/kRRfUUkOQ
7Y3/Mq7/4/ycl3dtzh3koCbapx8f4jC+zFGxhvU82u9NdHTV3nPnN6Uuvb//nH/2OvpmgdmSFgTN
3Y+v4/acWSkBvmctvUxm2BPFhxsfAaH/l9f58fT7+dfJ75MzUIMfyJbzx9dpGViZgwZywjIvOgtj
NyOM/7Z3Ej8aYv/zIt99mN+9yJCoqtSxfJ/HnXzCDhiOB/WLEzj4La9KrjHvrgvRsO70w+O1ExTe
9XiV7p5kGIW32WnyDl3QXfYBfzGod/w3fPr737X+x22PrgsdbIUB8I/p++/eXzGsK02Jqp0R+l5H
t6A/rrTn+KQzB/OHYPFOr9p+9q/b3XQwTb+8oE27RQG5w6bvf3sr/+5Ntgv4rwvJsPifoO4wfv/J
3oQf/KWQ1NyfNlK7CpGdkxMd1HeFpPaTxlcIqEK38F1ve63fxiTUkILKUye4m0KTP/pFw+78xPNE
QObGysvI/Z/tTfCfc7P8tlzb9ib8OzyZVIGTlkCK311HbRyBMNRGjN+ifpo25+eIBVSh9PXsTHZn
Zd38oRyWL6bAVuPix/F6my2pU6Ihl8pYndYY7Xm+8owGjf3MgNQOOjpbv9F0GLQCuXa5hdlTFCEK
EkONb8gFUbQ5WjOsrcPmcTVmJ6EhtB9dxBucKtXOWrE021hjuVfjQ4dZtk/n52iiORuz5h53BpZj
JXUP/8veeWxXbmTb9lfeD0ADLmC6xxt6m2QHg2SS8N4EAl//ZvDelHRVpYb66lTVKIkpZfIQ2Hvt
teayzPiDeqyH2THPeJGvapPcBsqBRdA7s3aQCslqEdUtqEdUOrtLlOqMtv4SDfZp8Jr+nBDzNSEl
73DuYL6R2De8Wbx7XU4Fhc4Hd7NQcG3nT6/2Pv0gzDZYlEHCEysOZ+cHDTzViUrQeuUQPban5DbR
WWT+NT/CCuy2wM3qTP7aSKiFeppZmLc8R/e5BTVCgIjAcQodDmdmhA68iPLTK6ztrHESddHsXQAT
fifvpJfHB1OzJ8pJACSX2Dey1PC2ozFf+4l0VinQihR4xaQpFuQUyZBZAcBfzbjIgF3AcTw63vBa
agpG68DDGAFjLJqQEZjqKSgwRN/MPQUXDZVx+Gl5JYYXidF8AWwUxFOnbNtno4sehU8DTPC8L1Ou
V21KcU/TquTWye1HvKXkhBXCkx0kqyXOnZfF9HWtUxiOD6NXxFeoNs1pwdRBIbqRH3AubGVm3lmo
9gwZAVcIzjer3Eyf9FkHm/QYrBwwcBsnpse08Zp5I2r6lg2jvgGOF608IleEIh98g4S+zEjXjyxG
hXdyx4o/YgUXPZufG5H+9J3yIjIyAsJW2xI2INnjG+ObC8EPqcB5ocrylfEahErs71Xo1hAKsoNt
chTy634DexRsJMW3rY5/wZ2cM5+Ef37hRf6lNRpsK0rdAwb7MnVl5jQG3soTCsdxHgPzN7IPyzN+
QHHlnjXfFclwoSbjgVvh68DrkiUhXLWjcW7n7sp0ose5ys5K0pzQRvZTXKL6JF30EM3+ecj4E2rs
2N05DXNrHoRXle2+RL585Ei7rIqYLr7ZYKT2U/O9d8M72WVXcdMR6tRsBH+6lpZ75yh+L2WU3na9
daTqZg3V7RRDJRg9eW4M8R6r4UmvK3ElSFOI6yRdDk5HnS/MpFXeqx9iDII9ndglSTB0PB5z4GJa
gzSKtnxHM7TAKe1+dH15csLpMnfsY2IuT2NFPGGiQhtWmTw2nUjXfGAJahjFHWmG98YpsT7nBZ0J
HlzaIcPeRlHsNhrqfmsnpGcwjB0Wl7NiRuX2sfKb9dyTW7cxpOknLk8pi9YAd7qpRzYQux3M3Uid
aWyS2LeQzUz+CHgm3TrKu8zG8EN4aJmN7z3annvpuC1A/xH3/aSaBB8gj7gOHP8Um/d2WFHol3DY
00nbnuhMaIniUHINs4qB6ybZQ4ox5+dxie8t0333S5RLwJ2XWPGifRwbxo79/c7yCcC0MVFLZfvv
Nn2aW6sqQNt4zVY5xrIqU9vVGuEux+HdDUt0n7X0+qWd9VClE9lUhOKPJjGuvHqatjS7wM9Jn2Uy
gRxPDqUIvhZG4O3AwZfohEmUpQWenfYCvC57c/lckhGKLxc7hhHvTfUWT/FZBN1DqIPonY6kL0v9
Wi9pyKF1cojxLT+iiUi6P/U0nhvtehm7GzctrhKy7g6Z95nsu6VD8E7VnYrFpjfBpRt2ELdk3i8x
MfYrT0foM7L0AZl6EwcvYRti9kJynubY9+CQwE8j81SQyM90ND/3Ah0bWH6EOrXfqqdSyNtGZjd8
HvhDIN9fkvNfBCemQYdwJrOisJEz8xzS8wgdwPL6kwktwDXnx8qGMeyKGw+aQBO61Srgf8waNOAX
HmuZhg+EHkVBqQYSVCbQAp6xG5k2hwpmQafhBT4UgzjzIBFpsIHQiAM4B8AOmuy4aPyBkctj9Q1E
0GgEglr2kXhFugk1OKHWCIXcBG5JdY+lIZRIx2iY/05l3/KeDrb//VR2/1b9v036Gf+XqUx/4e9T
mfebGVhIdYxf3y74P6YyUOKC2xR8TBF+T2x/TGVogvztnLug8nCAJj74+1Rm/yYY05iKTPYRjPf/
yM2ClPiXqYxpEf0pcBxGMlxv+u72ZzdLmmUJd4rBuSR/SNiV+NEQE87wRK6lN9nwnJ0WH/3fNRub
qmsuJvdjHVGgUcUXkCJ8MPbV2hlIBpvta+YXlnUjrZ4dPuN5htozVeF1WQ/LKXbGIj22g7IfsOsY
4mj1ZmfwqjaG6zJyIg62HogWkn2ZdZ/6YeGel3gpeiab2JOXncOj+5YM1X7yquIzAr61qauUcoLR
DcZsb2YEocM2SKe7oVXD0SXawoyzJKQKI1ONr4sLeRtXTWKe7TGMzl3bcvuoUMW2yRy2667thu1o
qvQsBuVeRBHhSDDgUfg29lUScnyP5LKHrrSs8yoZb1C53oB/vlJO/JGRRdyi1JbrxhOfzcBgBb2a
C3nZuj+x3RJsoYq5jflhXUyxG3JjfJUe5MzJNsnV4BC1iNCDLh140jxbmMc3IXeqjzmlN7t3Kt5k
+KYvDMKPh9zq/Cvkt/m4NE27B8VQc9viHF/m1ax9sIhJHTTokK4EvrmofUOw7mUfbYKhPAcjOU0R
df6lEmI55i4OG4jpVM2Gyd7XBLku1qUcKsjWdc/j1Wf0aILwM3ATYx9My4Gg3rWTpd5eRZLBqNc7
aoQJvnfnH27ighaGpoR1Tuxriwf4iD47cL3CmzsPa5ii6KkFpLiOfsNtBr/2GgJCfm9I4dxBZ68+
M9PtTmWbVs84T7s1hNqfFfPg/wAl/90lTfaqv39q7UiSVf/lkaW/6vdHFmBD+ggCrgh/rTiALRZy
YWJX/JXb+X2R5GEWCE7qYKk1meTPBDFBDSHOO1/4Ni5bfeL4B/d2ICh/eWQhKwMIIlrk0w9Mvvov
ruC85BM4D5F/xb3xFA/tVF0O0lbeOiunpqnh0o7Lnhaffl0mZTw/URgNsbAOK900kiUvs9Pfl0mr
NkkPoFcO476V8Qb1ED3VBB9fW4WHUz17J5uQMl6IdKsMkgPVIq6Ig9N0VBgvIJPvCD8/y7G28tuB
9PE9wdRDKGe4YxEZOOaP2EyNK0q7ArmiR4SgrRG/KIpEbiKYBd5NUtCYJKoAidjlJg3SAbtevRFR
aVYPnm/Qssp0Jbc9/QTDdWv0CfAI1ocJZpZ8zu0wIeqd14c0yTLF4tBdysw9yVHcidilecmvnsyl
eBhd8ot10nzY2v/nJeN7SWnMuoN17VrOe1Jly6ozXOpvbCx989OIU3/tsMYak7ExSgaXWNve3KYB
Z6AkZpzKd3UmRPcTBajbOUYkcZ8HkqKWhnO+kf6k6uKhHN1P0wXN3pf8oYhguPUdYCYxtrOD5Ndf
gT/JX5UTM93L9GAuKMutPhCURfDQFpa9q6uccmuH4Mqc2YcE5mM1Td2mlCmJHLzookx8Iqb+Ahcr
r7Y2xUOMO+rkNPZtZI/lenESTIGufahz5HE7oJcgVLN9VJPFaWM0f5qUOgVjTwNwJCIsZf2+rMK3
OKnPXuifewenQRqQY3WW8J5aF8IhSb+bI+OnCJddYc5HwJJXcUfilyT7pukW71BW0C/6qPkaavRk
L6WsajTKD5mEQIRV9YOP9MBJePIPnhYs+Hjd4mkbVgDlrwaRGWy70U0RcvyJoWDRU3UXNXTJj+wB
MHQ66pXE1K/5vG0SbPiAcGjSiofTwHdw6McdRTdUGgmcpJ7Z1tulco/lpK7nVjxb/XAF3eYhG+p8
nZr9UxkndwkNapjVxr0Ve8aRUdNZTUl3p/zogSju7dIS95AW7yOaKONVmEKUtrroZoyWgyoi4+jM
xkfXGsnGdJt8rwSj9WKFBS5YKsJi0e9pKXGJfKnlVDf+daZqtasDokrNWDlrsPUD0XF5gSvzJ62Z
p5QyY8wt6aWXNVSfgUynZ9Lam2FRQA1twV66pJes7A2mjdypcLiGXfNjMhJzzY/6tMpUiUl8dL5K
xSswb+q7cWnWw+hj86AH0/dnQPYVHPchnx5tuVQHw+XTSauBXPVF+gkyZmGk938IKe5tLi/HqSYd
UXT2EXHL2Th0EyQTUX7P5bRllq67k212ncYewZn8riymqzjhsy0THyZhRjtgGd5Q9t7uvAIVRDaS
e1o3674t7wFG0oRN0vyKbPfVdIoP0xHHVjpsJzGMosiwP93eeOphdK/Lsnwq5WBv7XC8V4oChdQr
X2rlnoVRgxvSNggaTn139m6dLGh8/DbkTFTSvjuSeJktAHFq5N8o2kvPmIftkqMJTct759gvLVPq
ITRxUzShf7OMEySbIcGe2RHFx6dNuxmVCFDD+qPpD/dJNZCoa8zioMya+KJPUTyQhdfGc++HknFD
JgFu0TGSm472EZjZTQVEzryacIxuuUV9TosKN5VgH87saTPRVHbI84rYj+GSJxtbzCwmOhOJ+w8O
giXBNiisZiTFVTqLdDX17cyh1k42jt3eyYq1SwX4hK1l2uYpkCGHBNYQE45JBSV0Kksa8mDyqMro
tazAeZcGAxvzd7yaHT6tTZd9eH6FdhRly1ZUdCi4jjp4Vdce68bd5ZiKN4nvFbsgQK7iebjsq6x9
7Ug6VYSxYhnta4SG28RIaYirU1plemmuOHyGu9moMPLAvLz1KpsWs9Y6trFzkREV2w1lFuxR92A5
Qv9YR5NSp2QcdS8ANYFkEk92QwujwAOKdSOuDklVLY+LLPneSGXsBJ7vlYEksYqB+oPSmo5OiZXJ
sgKcM2I6x0V4isLlbKRLuQksVJkox6dc6gneJ2jkexfQl7jLjTisUS1umjF5qGzOpWSbil3jsD2O
idGtM2f48Fp6EeDAB/s5YKxTFqsC6D6o4EVyM6S4BKLF3OR1Ou2bZjnjgLsA/rjBxXMzdfhKnKw1
MYMhEqZ+dxWK7CPAFF/0EWOiHyKueYaAnCkg7QVqG3kxxzLCbyvTlE/WmL/VuXFTdOl9DpgJnr7p
bbPOohPLbT4LDEYx+CTwXy72uNTll4T1sJGF+dKkaEbTSBlBOGLYtsxpI9suotsih9WE3S6bs/ip
TQqAjdGLhwS0svnR9YvyCzjGi3DorkuGq+b7hjuUH5Gww60VclANy+KJNAwOhZQLrW0Yt4vZmBvC
VNSUiQj8SX4uOiYRl3eqMCYeYJb1OQc9WfjoIqClbw+j/4QvLNRctBVF28+l6q7o6cQGr0qm8cxd
8w09tb11FkX502iCLzkjennovlVrHKI++8SysOvHetj3frPtG/4qTWNPZmZeLPG5hIPfjTSY9flb
OGbvSc/Dl4JPKAL+EbyJ/tQEMenE7gQNCb0p59tToi9mCNbzwuc5JTW240j06ZgACjFv3KdZzN/M
A3wqye13VJC6sH5JBkDhYnJ7ZQI7pjMNzkw6XNq90yLqcj028N3aYBWF8tly+MWbuV7JKDvnaO17
pxw+XJIOsR/hKcNLbPolfurqyXJ44bEE7kVilVQrOVfcwx87Sale08MiNpr2pknDC4qc8X7g8x8N
zHJ+JghAu+UeRgJqmp1tPUuWKzQR7McQo3eAXVCsF2wJxDDuy6nltxZUOCSZO2k+SrdG5ejpoTv6
TnKSKvtKLJHuYhlcKyvb18u+D8GtBvtOVRtrvqB14yEpJowqrluuUQT2WTaBWPUZZJzl3QnkzpPx
e+ClF649YnCLzIRvVvsG+orYrC1pxmvMqTvz4/MQK44B7IJPVkO9o0fEuqd99eDExcGGJjMN+SYK
nOa28roSFmeVehjAXWEZzwn1LFQk2VXfnXAqSJohUzkF064uJkPdKr47lSlSY+NG3LzjxZdUK4X5
qQaEuppzQp0oZfsljJEha2Nn+Bk+1dyQu9StN26Zj5toqn/Aa1i2VTC1qJaxtaXZ69Hpqnvpetgv
HXgeWffsprRvlwxeRpQOu1CEx8R332jfvpnTEHudjykzSQGRMXdRO5vTkyLkZK0M5FxeJ4RYc5MX
G3ulx/dPf++YzccQf2SYXLQdNO+icTfz4F9NQ3odjv4FGka4qvrszQoVTXruhbUoppu6eefdAkOI
Xsq8CsgJp+5pGM1Pav6q/ZKZJEqm4OBO4w2ZG6rEE4yIrBIr5hq5gR/3s5PlwaErm2RDveza3rtw
2+LOzqct3V7TWpS1PPDcvQgl5g5FEBMnYX8gIgtt1OYfCM12zardr3qKELuedDQkn31jM+2GVv6a
t+naTa7zJucJoFZydo6ig1sTBtOV0VcthxU0EpH9hIbEtm0RMlLUCMTmFc0bu6Karlz72uPAYCzt
puuM+DSZ9XMu4+OQpC+DPzw2YY25YTG3QbefPf8eL8eaufdKtfZr2lAL3lOz45TxkZjqcqRNEXBc
9phoQdJnFtwmQ5OeeSq8umU9PZcL/V11m51nalE3/ZTVa1UuxPLoWCUy+qOZTNwW+a2U1VveBASX
euQJFb4Uor5IneS5lFxu/pUhv2VIfSj9+4X+8u0nkbr/vAzrr/p9oQ/BftsOdiRb4M5AMvzDYmhS
ioB1HkaH87/gs1+XYf835Eea7REbA66Jmkn26zLs/YbHA2s9pDTHogDwHxnoXU97+/7vZRjUI/Ej
PCOkVoO/0s3ANqreHqz4OgrLna/fegO4M/CN3RUureeGF2MzD+Fm4VXp63dmVcaUFo0HHDCfrn6r
ylDQCSP7de0X57lmlFjCDHrEZG4sXsq6qWY16Pd0wAubyyZApDQMt27afFhjk22GYLwaQHVO1vSC
Dx6rcr4Veg5I4+TVC4uNQW3aU4ddn0xbfo5LGa39CJMZ/9r1bmS0qPWMEVv2C4sa1jU9f/Ac7De4
r90dasUXTqNPpxD85Ou5JaD9eE2/3H2dJ7fMdW8LIw58RYZfPfXUgi67nEFI6Ilo5MnDYM4Zuvfr
94CxKWF8KnGHrjqAmZtRz1Z9Y92QY9pkBS49hq9MT2FZh8+uZzATWXZjVs68ovN5wDvO9FboOY4U
wsQ0LT8YI3q6IMYUzllQ7JZEqE1hZg8TIyFvc97i5oCaSwroAvbFfc8AWZYWgG/Z7bKCpcxgyEwY
NpNhPjc1+5gvEzApDKSxRTQrrplRPT2t1qPgtZL2wQZdZnlEwQAMVYuR242frWM98wa2l+24wfyk
9F2dYhhtvOJMyrf1tOxA59zSHnzh6UHapRdYkTC6VXrKJiMW7lRsMnkXZQiMiOml0nN57RlEzMjb
pz71Xe2rMhve3zGArqJJqOWLfd4TDPq+nvhdxnBm/4gNogUVofcCGsE+hjBhEdE7Q6G3h0LvEZi8
XwsWCw/K2SUoCF47eutAatlleg8xWUjSyIKWpHcUm2WFyrtk49vTvMn0JhOMvrgy9XbTAXxcx+Py
QYWDw2SDjXTU21Cm96JRb0ip3pUWFVxiTkW3mL1PKAsgFkLrqpLQ7ZyBjzJtdvMmnsDoNjGNnJbh
3dO8+zrpHS3l9kywwi8OQz8DpIglPk12uojlztdbniwjKOBxRX293gFblsFIb4WtW7gHHH8vYWa/
0/O29/UGac/9pVEa7B5GAHGCNXNh3eSUjflM+i3n6j70bk21DO5Jx7j0lioQhOZOkbaULNvJ8xzz
M2/nAfDAcTSZluadcgbnxpflCxXmPWMOnLao59rZCvU0x1p/w9G7nVOCZpIJrK4xSuZ5/RzUo9zL
wgEYDvkv6mj6oP/ZQ+hnTIETnnFzqx6WOrpGsLkY57DfgAj8Sof23nbICtrBeQqQPIbszNlgb1MZ
mBjJpZkRK6gV4D23GFFTOvfOBHSGDNJOu3a2zoGDrkQN3hE8ir2ldfQFFs2hl+7ZNMwvb/B3fQ7c
pkY1q2mfPsFRfbOpEFm1liYRz0RtCGp6p3QZdsEcz6iHmT8Mz1XcTjXJD+z9MGW6+t7B4fZEiZ+k
k9FmVvDMfupA2gXiNc5rcRr6pohvuMfHwXFoDfc1iklCXmYYM/dlmGNWDqNni07GrZhhLloR8L6I
z8vBJSuML2JBtuFztxUNaUY+hS+jOx6WvLR1RumQeCDxfO22kGmMIFBHt8GyXM8VcR6i+At16uVN
4cX542jxhCublMdTXtjbMc6+4s6/7TyCCOj8O5X2DQloYF5+49/RbvmzVNNTKxit+CmGadc9LeGY
rFpzuQnd9DzmSqybxnyzZp7jdYXQiPpqSatYD0PUH9rCSPmsRdcqN+21GnBmGkT5iQNLKz9Werzm
hvLm1xPoQT16+8zgaZ6928zkdTa/z8zoFRFqskViH+nxnSZSbkVM9OZMdqemheIQCBoWiEaRpDCm
4DrWy8DEVuCxHYBAoEqQdcFnb7CoqgL7wypR6KXCLyU2DdaMRC8cnV49Kr2EIOJgYqVmfNALimJT
cSbTWpeyBqLMFpNmWNmLzr/Qddm1XnRavfKEYD/axCY3zDIkYiSArmM9Yk/KvfqmZm8ii1atadV5
zoLpI9OrlZyLs9TL1jQP5wiokWALY6K7Vnots9nPGr2ojVmzS0OTTTFAjmKVY9+LabmurdXInlc5
qbPGYcKZudhYbIF+mDvwv91Pb6L2W+pV0QmGc6aXx1KvkZWadx17pasXzDGldiFl54SxxfOZYAyp
ckps03u4dm8tG6rd8v8N6mJiec0dvtVmgGqu91qfBbe04s8sDA+Cxbc2+KsRq/AwMRSzGpd2sv93
nvyeJzVF5e/nyX3xWVX/OU7qL/o1TtrWb4GAywAmhcjl96Xn98SKTV0WEyNpSCFsbst/nLRxJ5rw
0353Gv7ppB2SWNGke/7DMr+xDv/gPmR5fz1pM9CilXn8mgyv7jcl4s8n7Ur1vj2PQXhtlx2URWEt
zb77ztg5Bh2YW5GUffSKc6e7db4TeaUO5y2k9LwsvOiqMEd+yN9z7DZ6IJvsId4p18VfQfPcrPOI
y7GanXY7TuEtZ48vPr8pTCa6QEYbLpNNwCBF+273JjDFAKgiNYQHIy3eRQfF08/qiziTt7nmMHpD
R6Wvd/BN2pI4n4AblWtYngauELUnmXNlo6ilNsQbqTmP3KcPSpMfK8N6z0BBgtimjzDwfzRAIpdO
frBfX5KQLITGkXovIbn3QbMlsb59UtG9yTV1MgvhT5ILa69pF9xhjOc6PVmHFljlpKmVUvMrc8fo
iJTCtORhwO+2Mpgl6+WZC9RloCmYMoOH2Wkyps2JKXHhzsK733Wanml10MEygJoBYE2cmvDxNGvT
ArpZAt8cswwVub6eNZXTKCOxKzWpEzLxUWp2Z5gCgrSYODam1PghzfhsNO2TW0q5BslMiEDdliI/
9gAlVuTYfqpyCnhiQA3t6giLIQ9hJ1ZvZGwpSrGsr8EG6g5yVPKEyTSDNNI00umbSyohlNaaVao0
tXQGX7qAMS2NSv7g+3kexOtSepcufWgE46HDZCfqT+6l5qF2RHX7DVb8lvu8TQ3ztkp10WVTFHVC
fH3Iw/ZqjoV/LPrARUGYkn0aBAQziO+GlzghkpOf19OeVpr6yJ9LY25dkxIbysHC+wgSaLgulDVj
BKw5L01CuXucEG6xKUZ45JbSBDbGVlp0qTlnCAJKTqGQ+ePfx+H349DhvPz3j8P7t4/urfyshv9y
M9df+adnogmlikZ22+cijVf6jxWbxyXuao7f//NX+KpfKzatWw7GaviV/Be6KTv7rxU7AIKjM+XU
DjqhfqL+k5u57f7HM9H3WbH5txOmSyTwryZ+KH9Vv9SzvJ4LzgzumDY7Z0qyrQbelf487HojR3Di
cDi9yKw8N+SJ9x7Be2wvGFQihXeNQ7Z1F8felgaIEjmnIjTLhftsDsubiOyFpvfhU3ptv/WzXP8A
RPfOaHiXFCQnCGzQ1Bpuv1cwuLZZnDwNnLYlyiUjR3CCQX1yO+srn9WTTEruWPl1W3RwVuxDyIF7
FWYlRpWS3tessOjZUjSVz6bbr2M9KfIW+Mx891F6xms+GZ9ygrSvpYL1LBWDYF3+bEsm7tw0CDpN
I8M7OWuZU7sxhd67StxcZ/usdeFT+zeNtEOPqn5KyvrW9uKtVyO7+QpSZjsOE6y1/RgTazqSK75D
DLzkNfK5AKlT1Y1nNRJBOb8CPbKDF/hcMgJGdvSRVOJhIn8MN/pLxYT/08K+DTqlWAHR5aa4f6yN
wV6pcSB/XCQFqkHB5hViku88BGpOghuomu6hD0wcowVgRrMa/dVSsx+UKXbzPsrCrTFolDtlTzlR
q1VpOPtxNLI7QXxtM9s4xzMF/c9KES9EbTiXAPrSlV9LID+ch060loBPnfEDGbW5H+f+SM4o3XTO
ADNcFwON3x1B1bef09bWzqzXLs/i2/FZgOmYHQ92wJzSW4YvFFboYcYnmgw6llj2g385REMfvnZi
SX+WRU2oM7SomkhdK9qJHsqbb4IJ6tkA1rGtql3jSoIwi50+0svx1OHNR4oNX3MI6jxMGWKlm9kb
oxm5UajgIaywnpeCZ2Q07gtuWAce/o/GCP185KS4naOl2k+yiu/ArLQAC+3qutfnF5M/S4dX25yo
mtLglGyi69drTAXzTaXwAgejbEBuTu89Cs7Zz+0J723yCZhg5tCgTLg01pUR1BFNNjTllgYHCD8c
xkM3Rt3B7rzivvXa4nqq/eoht9VATDuFwedSwxQMAAY8/GojRq4YFN/sVRgH8I9zeBupqKjVtRzo
YjScDnE8r8OtSG36Jj2IAyqNvNOg0FyjZt0mlE4pF7ImnEGsAUgCsYv4bc+ucTSMUL7mmZQcPtpo
kwZDReS+zj9yRwClGmULbDI45TKBK00JybYbwoXaZ1pEuGCG3a10rOgiiZ3gMpgUIHyfrGthsO9T
u7bBf9PtZjOYNwPnh0sjWGoE7xyIhJiX7b/vo+/3kc2j++/fR5f1f3Nv6a/59SbCVapxZxRP2L+S
4b+mcxJCHo5RkzuQhzVf68B/ehNRSMz7ASnYd7CW/vEm8sE488LAdPU/2LV/ZDglzf0fYi/FlBCU
oT+z57Ej/F/Dab9w8BzF6F3FTrVctLhfm35VQ6Z3oR3F07KslmhkYzdsj4NsgM+rvlRmiSwxMhID
YBJmcRmMqQmgy475Z3C6NJXhbiMDrGm4JYHM7dRZQN/PtNBkY4xHC5Fqs5gx9OFV7hthA8qkI6wT
TgRsbzGxsrgnBrh3X8DrHOfqmYE7XWOdPQwVYPdel8G2Ol6MqPTdsdvvotF8yOiO7Sqv2NYlHYbK
vKt0vaxlzRTN0jjb1OW5aqMLiyZa1TdgyXQ5bdNwk2yO0FvoiYob/N+6yDb3sTcVs48WpGtu8dfE
PEQZtmnA5WBNDUDsYFmiHLfRNblm6DcbXAAn3mM/7Zkq3XScfgy6XNeKi3OZmmID5fOm1wW80puI
CehSXlyzA9n2Zd7kg1dA+6K8V4lOwMC3tyZ9k5tMV/xKun4NdyZ+C+dk1GmqMrJ+zjwp1qPoQdi3
h1RXBgPOvcgC5nZ47E+j4HWbtfKiH3PKhnXt8FI795QH7FqfQmJGWbAviPtRFzVHN2FEmN36KrPr
u7aV68hvzmDe1gn0Shg2sKrpd1Rj8e4qvDldMm0GjDFTkW/IAxvrqYlP0KK2XUPuBdsBx9thzlZk
kXOS6z4KszNclgYUXJId2QUiJA6n+HkERbfm6Ym2oZx0Y3jxzexjcXDDYW21w2kC+ITu1D3HNcRJ
mkrPSln3A7wxby6wFxH9zqvsLq6mi1TgbPBTLvG0OqGjqYI+SSM6dHmUrM05vDFF7W+D1vmsC6s/
WE3dw1eur4RVDfsEwGvl5I++8J40n69u2msjgVGApkKiqiAQTUgKZb18whiyUUxQo+m8mM1Yb7hs
8wIr7udcHNEICadFCVTwIBFr1WcoxKadnJumszZOCAUokfK58mF6ZfYAwA8nhds/uH3OuaLDxZJA
pOsFAFviIGJACouokoIfCgY8p5M5tzY1cLyNM4z3eGNy6hctkgUqPsa9G7Mxcm73gDIH8WsrwL/M
KQCyMEtbujaJx7vm+DilHCqs3MWv7SUnklQn0w/faLWiRCsGC2fX1j3D1y7t3AcO+nvDqW+kmcrV
nDr3LgejTQA/fYXTDG+Ve5n6jbF28nQ3p8Vz6vrVvrLUWxkv8yFXMUdXvMhAVbB2Gzn9MIwYO1Jg
L1mF2QrIALiDGa5DCOmOwcPcw3DrLlIqOEuJChjZhbuFEYrriZN30atry3I/O0Ckq7prrxrff6zb
KDl1Jc0pnjV/EkW6y7h0rzy4EvhgsHb1i/qSE24cOJHVJoptF+uhH2hUhbXnWFCvo2K896Kcj47p
0App0dBQNyn0NlWLNULDIY/nNy8Zqu3g6YI3L7zUti3LcD/zYXY29UwdGl1VfKBQl2mV/+pQm/EL
HtRSv1TfMjR6NH5LrB4o1KaWqoPZ4F41encujKVjPFAbvmhp27KzSwutW6F5A1E7Qxa5zcBKlEV2
TIb2PkpoJNFiOaeeC4V67hnNQ6PldEdxoze1xB5qsb3Tsjt9LqAnEeIzFPlKS/O+Funx+KyElu2l
FvDTST6FWtIfa3wok5b5WZox5iL8z1wAcn0KKAOHtrrZ5jrDncCWn1KfDXx9QKiwvSXY32btg7Mw
xBXaGYcv4anTXjkH05ztis9Eu+hUjtq4YKwz+/ojxGi3YLibLD4MDRa8RnvxJD7YjdD+PEs79drS
v5k4AMYOyU4jxs1XYOsT2Pv4rW7kmFyDnXB3QjsAY+0FXDiK+bzcNwmJnFH7BccomI+uthA2ERCI
cNl3mAtLCV4o0n5DSzsPEUUeHe1F9LQrUc7dFP5vgP1fl7vFDfnvp6Rj2Xx26Vvxnzqm/rrfJyWq
KzQmgczct1bJEPX7pOT9xo3C8pEQv5mxfNWvSYkqDMIyZHqAwMLt8RBGf+3slHOSlg7IedBHwfX0
H/nc8c3/ZVJi93eFTVO3YPSCt6x3+j+BZrkoddVstOpydvBe7xikA/+y8XnOfJnLUgmg/nQa12iG
+GSXQ+3lep+N5gyCoefmd5GNeyUgkscGNPlq5fx/9s6ku20kjbK/CHkQmNFLzhRFUdRsbXAkWcY8
DwHg1/cNue2SszLrtPfeVaVNm6aIiG947z7HeAt1pDbsx1+A5dymQZpfTynAlHp2jI1p01jD6GmP
peN8iyoPtntukPBZkBeFKJEHu4X/2Tnw0tB92ZczCpK9VmQshqFhFNNydNCyJ0nYXFXg/OCW+5co
itMDNrdi1VZy2jS2Xy06UiFpGEmlhHuDRho9/5U1TBepHV96ZcfRE2fpJtV8tC6Mab0F+2ASr4gN
34w+21Ozg0BakyawFCllUD3CXq+9Hi6KpX3J6CArZywu3Ki/E06kg9VHuYRCqmJWMGlXTeK8yYJu
vS5dsS3t5NucJM/IoLBYWoPI9zIA2lZZyXSP+i9ArhsdQxht+z5K3rtwNr4YJCafZ7T6m8HJmDO0
Gd5Q5nBQ0PzCP+A1FWtH6tqFVY36pR1z38e4hbhve+eycd2zB4n0luJpL6PpTqvQOpRWYW11rzy7
DhcHHB+oa7rlEIRAXsicokizdMm0d0q1SxH1nINTE9lfqIKQoOtmeuiCSXRb0qgmxoFzw9blFPGz
G7BTxcdJkA7BUcbGr8Z7rEtCQZXtCl9PjQ7/w41VKWOWZiiPFnlm80WjjFvxh4ernD2kYj4fQnDy
UY2h2kp9zlA/vTQQ0Iswn2+toRHj6k+P99Hjif85c9wzTfiHk+vTtFHYxADDesCz96Nb+3lyMVP0
dR1LH6XDR/Dgz5NLNXIsbGiJTPyDrEb+c3LZYDRJtvEYDX54Cn+LGSacX5Em6E5wLZrqPQArNsGG
0E1+PrnMKKtEOLjdVZ465NSWWbway5zUkvNkDDOiyNiPgtlZWwh0IiyqQyrXtugMgWWVkY9cWlNs
ZgfMfPXErtezERIyfVGNihidmqQrO4vMLcwuvEALy8piQHhakAzMgQK/LLjjnd66dvveb4qVS74X
Kde2LdsRPUSdtC/uDK15xooM4hmx5Perl8S1Zpu0lX+Maj3ah4QiLli5Wvd1CX/Sw+9bc7nbCytN
CLGp5XAgS33aoPUortws7W9gD8pXvbDtCiJDFL5iXxupIfVc1ZcloSllcJVotrXBnR9h/xBY5zxp
TmfhGsEeAa88poUrr0QydCuapG+lxByENNRoXojfQp/ToRxdRuiP95GddHeGrFGaMll88+bM3w5R
JsmagXiGkXqLSMW88WadzHDlscl6EphRgLNXsbsO44ajT1cN4AqqraTdWJVA8EhqrZAE/cAvnYdu
Vwc6dmFRgTjz/ch4NueKHNWZsnGRGr3xmlqtfejrNtxPLEGemCGZwHUNdOAVERmzl/envk/f+EiL
PZ2+uBVtrGfLBLTd0ZKI5G23jK4mMJurcLLjKztu261P3t06mX3vaq4ZhOU1HZs/wSaNWOe8ITDN
LnFwtw99Tthz6ycFbJDYOJqmyDC9RG2KLSSgrB1r50z0jLbh7Guv2V1XKzSf5YHh3XBo2/SC8TDd
r6d5G5Ql4zdpRdnOq/LwYixji/eWuNqRyZqOEbYF5VZOeFC6jiO8nrxiW4X4UkjjnRmaN2QFzIYf
XGSN5jzgPX8EDWJcGppXnXj7wUZLAZW1pYE8vWn0E6U22C6YlvswRibA3Dch2KWabqLGkyvkWHS+
cT+uGYcEmxZ+SfjnZP1OG1YzrX+vC7/0ry//fbKq1/yoCdltw6hRuEMORCZibGR+nKz8ksNDYQJC
wuXjuJ/2OMzVTJ8ND/MsfoursFs/akJPGSbhJvFLyvn4e3scgtP+VhPyd3CsOxbZ8GofIXjrn0/W
rKPkG8tRP3UJImy/sLcEdGsHEiCZZjG/P9vwYHY9XDlE8kHL2RuLZYcxSMXDLGQx1gu+2/Zl08z9
wvKgArfSYZpAC+WN1bGZNbwBurXovDegcJg1coTNJCivZkfu/cADTY+/oYrJnW6DbIGqmjQijkhZ
NDuLGOm7OiQiKqyqN0d6h7Kv7hvBLNoia53E6votm5Riq8VUyMm6wwBAIAAZUsWZFfNWJJZ1rZnO
IXAk2FgJNi6XWrDSBKDHLKvhuXYvbh++BTnCHS4KnQywqt57ha+qOe2G0IDs2u8aeO8Oju3M5MII
JvKkgtixiK5mfFEE03U0srJufPNrGzvnyK6vvA7gYhWlT7Fh3nWlDxcxMd4BRI5r5nD3lELruG73
vaNFQCHFLqj9rzqWw0US0av747nQk2PrGF/yIjxwdN2JBNm+PYOUaAz9rnITmkR+CB2OnmXGXh7N
DebxnvuIYMsnAjLTBfNBgcSNBtPSr9X2Gr1QfI59JYjPpScvpgkK5VRU33TF7nWKK2+ODwPBqHsz
aRnC+A0nESPKucnxB1IwJ/hUF26VrdwZPmWtaT1CcuqDBltS1iJoKpucgE/SaH2VS5sVoP8HJ9kT
AetT8YKcrElj91Ukq9YzxZ9jmwYaVGA9Gd+y0p7QdzkqCTcx/CvWUWRFFOzJghRIfWfn6abIgO+g
TDtFeVMtdQJ2pUraJYdZX4RT+S1XKbytKC/6xrhCpV8QRzaT1BtbDFFVeq+wtW0yEpE2EOzrEPBL
+Gu/bNiI10aE2pCV+aIN+XAzoIlYJOYHN54Qq5WvDFfh8JnWhVVoZ6FChaNp3RMy3NckoxWpA0Kq
a8w99fu+cvKLsbPXFhHFk0hPltkrj7rvLHRijHXijO2cyA4W+SU6PPe+6QDstIQfBxUpyJrXI02s
qdp7Xb/JiUoG77mt0+QmJgoMS+8XqTev7E5KuhXRrqZ2uPIabBSNI7Fu6sXR9vhwbUu7YHZisXSF
OIPLgVCO0L3Ua/GGwwqjL+HOFeK1xSCqTdUy74SpUK+mcdinmK6WQ6GTeCFfIz7rtZpFLQsHbk5p
VE9mUR199leOBw0lMlvaqeCt0+XGbbD7a5mslwymy2Wa9AcajHo5kXi2LCb7ayfto6wNdlleclkH
ZG3FKGOWqYHSI2qfvaQ+5HlxL9L5QWjtmfdH72HZC1/6R6IwSOsw+lU4D2T4ifTo1UpWOOs3rW8+
T51fnUKu3GU8auOFlk7avsxlA348vhzS+tbqtfeoSm88p0D8x66O+aSptKouf8pM87PLEVQ2QQ3I
0NSyfZ4zttIZ/Xum5SxrqDMLrXTTJX4FZKUeoha2BSfS7pFYyzIjZ5VkOdSW58RALhzYOjWUSP4Q
677fsyZrm3+/ZxUbZfFOBuU/9DHqlT9vW9wH2MFMyzXoWVgv/XrbwhvGgvmTgPJjAuP8hSuBucj3
C9VlbPLjsmVqw0DGZGgumJqoBddvCMlMV7Upv/gSABELbA5s0swP68Svl23bg8gYUk+7cu08gZe7
H2L4RkXm4EoHRLxJ3WmnId1eJlF+ZjiDfTVuiM2p00c54eTPkg5JFsPzKunJQ3GwcRlyYqJQU+VR
6r7KHDpBMj5Xen2cevLQXce7BHHSrC1EoEFl3od+AxOe7VLYZTcjDvelXZtvDonRg+u0y8DUz76u
McL0AhuvYPOoj+43QmzGTSKr2xxblity8kNTMjt6zZ0hDddPVk/seywqVK0MuRNua1i7GgpYJtIC
85dULjArMCkOejTQHxYxW7nFWKol2oroz+fqw0yWfBjLsu8us7Lt2JvXiV4x3xRWuPLZbZWl9DeV
aJTQasJxy5KdKbe5HuxCov1MrvtkAhJasEsqPVAuevK1c933ACUhFg0g7GZ3lQ33Rlu63OTMLaSP
RQGH2K07inQhcuM5yVokW35jkEwD678lCMAJ2vai1otXromEIyWLSn2NcpX5lpNbxrlO4UkXkWuv
5ITEN8I07JIm045UPIhKngoIhXnslqdqHstLNCrTUnP9deFCPgmrfZGVV62AFdBEm8x3L0Y7eKIp
Z6GYmtO+xLtAAabvcayyluHfvf4YWAUOiTF6RtQr7+fRCwljHGKX8BU+voUnCFAMpJmfAk+/o4xB
71ohjUMre7DyGJR+J+v4IW2hxq2bzCGkWkiSnozprLeUNboDoCJRILim0m9D6GMB00POSfNEetRG
G40dQpUzPc0+yOZtOvTkpMwtGN7wrvPyE6mdW2M0lCiQPFBcvq2sFlFi93srTx5p0+7o1LYSAQY7
NWZBTbsb+/CuYoXbyPi2yfsnEml3xI5iM8uiaunUsAjn2MRIh+IbuqqxGd3p0ilKHSQiwru+T94T
FqVDw3vTptBem6aEYW0Ei3F2t+ZsPxvUJ6QlgtHvs+McBje5XVf7ye4gD2nWLeEHr4XWrvP2rumF
II/CP4dRsqpInS8qJliOwOuTyFVSJlsml8QhJcTUmuYxbtPnvA8RcrvOhsEXwo+6WkVVGCu/xMw3
VL74AVA3PZdUvvMV3shTpHuPBpKLstVAhIwrJimvZqU7Kz1IbucwUpS7x7qRl5EtHrJaF2vdIIGh
UL6LVLsKdH+b5MVVj6tzQez86xBgIjEJcvfDiZ57yA5Zxm8TPjmdfQcwMN97YX85dMWB3zmvx9E0
L9wSegSa08zYiJjlijNrRX4Tsew3oF6HX5LYQHaT4N209W8zVQvk6C+tLzfSH+h1eQum99x5xRE6
h0ZL261M0aOix34SVk+UytHCUEIpjJyXntHfeKJG6z3KbNk05lPcN3vZNsBNBrzNngVpINzTsZyN
wo+X0zwc7UFGSzK8tkHReHu/qXZRSsiwlz4mRnrJ9PneLSp9gQb1pousFfj1Y1TUh1TvSQC2CPfl
Z5FXw5uV86hBNGGLjGQt7/fhJKAxxcMuM+pD7Rs3fEkuyp4xbtR0pzbQN4PLkq5nC54DcZ+hr2+G
VgeqLA+aLw6aqePnlNremqyd3qhGnLyjWe7kYK9IrboE4bbtsvncDSkprnnNQKHBocxX1kMmlLfZ
PU6YZ0glJ1KY9l1jvbcWibWlsxdm9DC08a3ttXe2RQlkO+QR2dHeHbzXVK/2IodFMZMjjI/6cuqK
i2JWlgQhjxH+8HgunsfMvPXVhh8PEBrZWl8mjr61hnhTVNUJe+khdr1vf6ar36er/7M2Obw3/6Bv
F5+qEhQ0jnBAHTtoJr+PUH/OAHQqDJTvNtWH6vQ/zQAYodJgw1CjYGA68HkGYDFdZQqgu2QX8CCa
v7UX+hDI/FqVOB6UbdTyDgBs2/0bZNsVVaiLaO6uXHpHPBRxA2QzMmjzasvf8p17aYNQburKBihP
igyNRd56PbwNNzaSL7EBl+MUBWWP0Q0jDpqNPpH6GgRn715XBDvL60JWVxUr9juM9FAMI3N24SjO
LYuLKHnGxcggtyCMpdIDZrYh9XQwIbJkzGtYc7TpPiZWtQ2GDC+dlkPUFJ2btV/yCFhltRjBNWJ5
MXunjduNUYyxuMhzOZe34cyCYxsTakQ4Mxj8rW+GyN9dzP/j0DmrppTJll6hXss6ENshdcRajvW8
1enoHuYh6tFn+JMzr02qt3A1Gf48rrMeKgCbs0BDnG1VGhCTanaO/dRG5aoySuc2dhxKFDAaUALw
D2wFw4DuNjUzuLFYJLPTiBrJ2NYu/x8pbPk0S8tPFhVMzYS2OyrdPcQiU/8jcvvePgh2D//ePhzi
Imz/e06nXvSjc0DKZrmWzbMoHDA8ajf66RnFSoj/gw2JwuD/Z3Xr/AVT1kMH7cGX/XgOf3YOagHC
U+sa7IJdFr+/tQBxmff9rXFgRQw/DUYjISy6xeHyeUonArMjdQFjJ1l9ZnMPqYtoKzrqnKEO+VEg
rXFOxMfWS82nqnRGnCIyO+uaufTBAOXgS0aYgZ2r48acPEq7fV42eMTcAVwwCiweqLYNLqSZYQgr
s3JOzyUssgpXHGjZ51Ea3ZIp5tXkFPXKUgCz2R2BSdXRa+liSjAU5owNN7JsXVuOEND8IqFVNtJp
JaGjRSJ4YmYPL63UE1Aw2QdHLSVED6ExcLXBbkArkUTojs6y7LnSjpY2ObsJgHFsxQHk30yu9Y5I
laAYqleDsMJwSJxl5+TBUlTFpkUfvEQ1t6sTbQfir4NZWLzqZpOwtwjMFeCO+zjU3oxjVUzHEnn2
aLp8PNlM+ngW3InaO+cU9f6EyXk+i865l0P7iMF4bWHh9Y9/7srvdyWPx78/iJcv6fs/PIe85sdz
aBh/maQCsavymH/r5ucO3vyL55IHCg2o4sd/0lD4sAKFUpv+P0cEf+CPFt77y2ERycXGlBvEwO+h
BRjM//1JVGeAz3/XOXgQRapf/6ShQD3AqVwX9ikdsvCAQ7UObscxLWoaDVyx0mICOblQp2vi7kH6
ZnurAU5m95q9SwNKtnwyyJuWOlqEBOvEZuzRt1mokBYmlkjPJr1EJoifME1faH5iH92ZlJMx0zdO
zpiQbPWNP3vvdjKQ4z7BGQwCa8bBFIWHgrithNgt7SN/SyVxdURyGQPZXJlK6WpVXpcENZPhm53N
aisJ9KpVspeuMr5aA+9GQexXN4srv/XfwQ4S5OedUHDvEZzdQq7basSGaSH5YUVQHmoCxRqVLEZQ
3lPWhUtPi5gR2Pdh7I0LJCgYKVKzYksXfmFLtje9ap3owReTALM+wrA5DWRuph3pZrAIsWNYNE4q
+axpGHe7hKHVKhUtbQwcX9lVDRUGDE94rAlQawhS64CVd3zQzJ8JKi5RoU9BdYFT1KX773ZQclGk
Ai5V+Wz+TNRoquYXFdltpjtdzIS5eU10nlS6W9Ql+z5EvVar5Dd/4hhUWXCVSoVL2ICwGf2CGnDL
/g/cqdnMm3DKSP6pojeyRJmjV+TMoRvcAva/yFQCXU4UXaEy6aRKp1OC1iqIrLXZfOtVfp2TkmSH
fAJJCjN66sZvmkq7s3wfnwqD9Vkl4Q1ufeepbDyNkLyUsLyMxB5/aKDnAmlNOvL07BBd/6gy9tDe
XniE7rlsTRFLwqIVBPJZDPfBNz6P+nyusfoiq/giK4heDVF++P6h58kUSHabXOWMn1J8OvCvVAIg
UYCjygTUhI1Cowo3CXGBE+TVBRv6jUuQ4ERZif+jUWj22GlfB5LFLtmLoxjJlZesIwglW0nlMOPf
D8rww3ZGZCoD9wEvpctayAVqiL+Zn5ThFj4BC7wYQwFfUBR8izggiaTAKuJryLxZBRATyTUS7aZB
P808DGe4su421Tx5rlgeE9RsXJhmYi4hP9GE85o5rrRTEtILuaNeMjoZUP8y9ErRSeKxsMx43Ofg
gxd2XcYXnjfC5B1suYbA1S2mCEihPgwbCabL08MTZDWSlA1xNMlNXri+f8YdCkgiS65qB0W2IR6R
F0y3jdDSL4VI6MBqmNsm/b0ImmrtdXwhG8dMgR0hyLaIAkB+TbgwYgFE0x7fG4NwSLcgV0nIfrhC
GUjoUUmmhTYdsYisU5+E2x4R0aLPiHsw4va16bWtAFK5GIgVLpzeRHnrXWiAVi4Qb3urskpIDfSK
5tmgpl/YAEQx0Q/OwlIXJXMrQGVsVDZalcG47Gb9rRbGU5LnwcYnNnMtG+lti3nkVEozMLw5e6hW
S3Tq5bpE76l+voGTM6oPaKWjbSblVcwTtZQEriW4PCLJv1rXbEK7y4OYzG2cky5a+gCMkrmhM/a9
5Qi/iTOj5ycENwC42Aa26rTJi5yVWoxnRCkxIT0eGGIwT6j0bWynX+BbbXutvZ3TYUBWiZg+QhRa
sB1o+wabbQ+DGjbcNqiqndO339BgRiuby2MFrp8HNs0WxtEb87u8TbJLPxquCz5R5FOA4/OSkVMI
nwBpxCOlz0Za1QEl5vtYGmKRlflFl0qW6mLcuoAK/1QI3yuE/7lRv3xp2/d/6qc/7dSp1RXE3IEz
bvCoKTLwz1qdsEL1n5mNI3H83E8TY0hJwb4duwrV/Mdu4EeN4P+FkxEHiyoUqOhZ0v/GmP/D9vJr
tW6z6LeIjDJ0C3ek/7caYej9UaMKl6eJ2tddR0OQMJ50QYiFUxzBNgsO3ZyG5npKhiF9EL3ACM0Y
IO721RyrtGmH+VE7+XJeJ6PRQe6RVVGS+VGYjv02opdUmBniTYkoZcIFArfB3yVC/5uv56K7ndq2
bTY4zoBnBwR3g32oSumQVaiplrV2QmMmGiaVcBXmUoAWYgk+inVuoOBfW2rCv1A0OPQtqdj2ekpO
RjOEln2fCZJgNqQ/EGgvOHAKx+p2FVSd3WhOffJNmt64CRNUQuswTPJurbjzjOzG8EILvOw1xkK+
8sFokBpeTcNay9BEEZHL/RwhG9VzjcE+sqzXwUaoNM+5ue0w40QczqG1tafomyM1ghQL7xuVDrKC
PISTXvFrxKExxx96cGSYDw9RCGzQU4dqGMMbQVKKG6bRaAlcN+WU7lK4v+yeFw1MFVogJvliivUd
8ezUIQGcMeEp+c9chhdVo2XXlrJMsJnwt15VvKfubG/NzGTaHg3Wti27eK2T8k3ZRlS5ZffZNSPI
dln7AF6qwVjkdS3XnlZSwXnmewQdbUfPw9eCHS3GbQsuRRm6jN211yolt8iZs37J7epto6b55sog
gO5GieTmFH4r2ZB7kXWGuy3LvL3wbT1ZGVqUHHnP2DDIVsZyNyzjPkFxQawguig5nX0/sLfSL/N1
q0JxSplD0GwsbyH7APDc3PA2PfMpK1KDYw8+TdNYbDIlgCIwWARtVHBv+tJMtgCt63NIJBELT9md
3ZiKZJ5EDSBxmrDQlwbEJ90f1y1x7wq4V61H4fZwEgnPCMYi3YkMgh1jmXz359j8ODYtZgL/3lgR
NdW9N//dWqlX/WythEowF3DbPlaZapDx6dj0LfpzmiqhREq/tFasKoXKk2DkiMmPc/jHsanc5mQD
6pybgDjVYfsbxyZKzv9qreC8095xpusMTXTe3+fWajAKA8iQP51owNqNrmXFukU8Tp1mEvRIzhN8
K0xzNvBqO0CCIBEZ6RhzkTsw/Fb6ozjS7ctRaZKGhMV9j0KGhFh9mU0mY0HR+cTNUFliGq/OBoUx
JOJOO7CesLct8idf7es1FvdFzfeekeg5j0v0J2q7r1VDBv7BPc1q818oDUBYoQaIS0mh5lFd9kCM
aJ+MM/opgJq57FdgKNa6UhZoSmNgK7WBSPvCYwuHBiFGjEDh+y4RJ5SIFCqlVmg4AfaJUjCEii45
K1WD3jvPiCBvfKV3CChtLE+XK5Sbq1ZpIgLEEVg0F7VSS+B4POvIJ3KUUj5yihhZBXOgLUlDvNlZ
GktCqi4t9IkL9K/HufK+zkqdwWNbLz1jOExKucG0pSZaHp5QxObXR96RKp2HjeCD3Oi1q9VHyMNP
SawMz0obEiuVCIX+6xwbV4Jify296iaOwmypJ2btXbemp01brcclXyGUWAY651NNnronkE6Rr25g
0yGpemvoRMkLfyPIYZ89L17b7kBnawNZaj6ck7RmRd8qCVgCOkWFuvshXYg0rEeCzI69Cn6vrWo9
jETBt9N74Dprw0AnZZAVT77Gt94N8bypGPlOBcoLFS3vkTEfNAiQXBU7XyXVOSKH3lOB9EJF00cq
pL5RDUZBbv1gdA8JOfa9CrR3HOyEyls31xuAukpWSoiPcM6jDB9JC/O5pNpD2HTZatDyYe05fF29
FpgvWI9u5U5Y6tysiPF8ttg8QwrjuPZpFpPrFKIHaXPo16TXrKa6xQhtxy/0tOGyG8oXdzSbZTsC
q2o1+OkETFl0m2kKzc6CmGRgeiJQqyIkKLSYHIQg58mXx0Rp7Iw8xzcPF7UvUjbj4wwgpmZZR2Yz
Lk15ZuyH78sMFsWYe2ts9Je5Y+wczyPRPvSBdLUtYGXDhlMm9jp7uIVTiW6BkJa48mw8laO2b8qu
WUwyfeuT/jHJScaa5HVi9bRCYf7OIXXVGCFEYuldsdPV14nHsjdosUL6Ey1TZX7FCIeGuIp2Zja9
ygQNolHckiwOHdyev2QEY9GH2OHGA0e4qbBDLEDTfGnL+myE9JFJkr4nM/EAkHy3cy/dpZFpDveR
0uyEsBKjkGaWKc1aq9LHQpaPogGK6AyMF/TkmU6K5VlXkpaE+3YRl+YRNvND0mgH1OgXnp+TXTna
ayeqLgJ8H8u+xKdqCwEOR/vS1dNWoXkQxWUL6aog+NB96mZimaj9/N1QuT4AQj/fScEXrwYvezLS
0tNWtSIZ/LkWv3cT//NaPL408T81E59vRTVwZPLPeN3m/lFrtp+3IgNHA88BIAJGRCwF/jP5J9GE
BFMm8czk/9+Y8set6P6ltnZY5U2YVhYRp791K6q94a/NBMsFuh2LhoJ3wR/4662Iz9OGYq7PJzOP
HmoT2GbGIYYeoa5XYs43Xu1sBQQze8LDPPoPmLSZWPQjiDnfuUs862iW3T5PknU9eEG7cl0SKdZx
JKv7rPQxSBj6OdSKZt9B4QOhnyXaK1QPauZCQHQ5uMFAYrmtVBNO5ia7tsMvmfNEn3XmFvCTnVuZ
InEA33AiYpOKsDBXVYSEpB7Lu2nSHhAK35vwOBe6QWOvN8AttYk0Pu8CWs2KlIG3BvWhnSLgCVnj
V4lxDZPuwRjaYhV1TAmDLj0OFbiPPii+TQ0Ogoh4zsBi7oKiw1zbxnhCo/tSZ5Aq7cEkRLaMvtYy
n1edHsCyG711qHdYV8sI+zZ+Fp5mzZr2ciy1JROeg+jdk0lqZS+iw4yiiH2oy4QqUmbW4dAM1WOk
+1808B2c9OY55Q5EkPqQxqj1m2S+7xq5GXpRXYlAAiosvxm6WA1NfOP3FThUghurMGdtPyG46Q9a
OaC5hYeK0IojyTR7hlSMLzQNpYCZpShrNHAbkbNEl2SsAkROAPsj72TQM1Fh1+ly6MjBjEq57BSP
q0zIlcnpk9Zems7LYiQrj13vWzSFF4XJULILYHQR+8Llb+zpnHd935yCDFOYyVgNe0pTV9xsnHfb
zs6Yu3GR7c2Oy6W1j92I7MgsDWMZFcPG0oPXlKyUNBuJFuEsT4rxJXSok/gzl8SYkw1BjqGMGC9F
pvaiN2FCnBQxICIlZZCxMgZBaB98sGtPJ2DE6COHhFOTW7dobqM2sK6MDoGCMEKg0C6JpXODuAh2
AUh5zNTZ4K48ULHbQoMCnvH9RwLjQfSz9lrdPlBa7vTeeJBDJ5Zh1OqrrjXEFdOx5JImGrYovpF1
ZOfzIhhIRylGgPgmPvvtJIR+VY2mcY4NBUdNh61vVTtm7Bd5SiEw1sYL7k6bgeQUn1yTwGIf783k
Ia/tWrmif8yWtixep7bcGEP8VIZcqn6H8Zcg0mWSTdnJsmDhj/l3tODb+H/CdxCL5MSXxeeYbnUG
/GeD79lw8Dht0AKgIFCiAWr0z5VzZY5A1hClnLL8PrW+ksYu8/2nduL/76/wQT2zm+GM1FEr/PpX
TFU4tgmi91Pavvbp9VTdFf7lnzvq444y6HT+vXVTdxSohpf/bt7U6340b8y8TLXfos/itsIP9+ma
0v8yfZvQP3V9eUq++kPY6pKTRUf304f3qXdzmYYRTOHjR8b7YYDI/o3ejY7wl2+gTbiXuvKw5ln4
VtQ35NevByVRarjI50+5zhD4GGFHeB6FHnlw54sivC7BtF7Mfe08O5Elm52vIQ7Foq6Raj+77YMf
WeWt78f2vARPJEHHF2732Jq9AF4LAZsaC0G+FWsPo8HhM4aztcwMI10ao3Pt4Z7qSfHsB+cuzKYX
Gc4v5KxaPGk3Tuuh+UP7ZGR5zAHKjFmkznocghWpDhfoR/ALt1T4YUMoRKhPL2nd0Jkw8l70RqgA
+wAAJ7o+sjU9hcYfVTyKt7B7f2+FTbMYZLCrcufGGuybPHbEKjXdr1MwXsGjQLM6cC8V9S1S9ufI
Yx1QBtwVQEMIWzVmYsViP1+WQxkvHcu+SRz3cvDaJwOzQ0oq4WXelIc+QkZLii4JLa2LO7EJ2ZjI
Cv7DnN7Qyt7X1lwdzWYoF6QziUWjFldNTsiutNSuI2Ot1JkjMroizC5Bl7G8R8TvQCxohV5BsWre
57aZ2CyM2dpr+13WEn9IYSpA/EKoSKDo+kvLwpSGjHoDP5WGKOEzQDIjIRZ49i4u+F/WMPYYQsqH
Ikq/wh05e1a08qrsTaTRnVMSY9V1CUGIdrBnJ3OOKwXDtN1oyV40WIQY4UK1ky8z6yZynDurwQMB
5/CrUxYH+Gw31eSBftIJdCoKkI6gqhP6pfFQKEsS/eTCKottFmvjwrB6EpkE8r26eEicNls5jow3
4H7XTkWyqu0QNi+pAtBgbqzaHa56RRJ3p9br2H7tu9TJH7xcpQqm/XkeuMtsM7oqZnw1tQaYIZn6
+2ZKXgMal50T0XjYYGlAdj46hvfkBuHSoCAByQOjR70NfbjRJnyBwXzK0higtLHxg2u+rCVG9f4y
89PreXKeYwd4dUFQzqYZMVtYMJaRFk1QufjaCTu5LA06ZlY1THK9R80F497ZEpFpMkLyauJNKtMr
u8pPBI0dLN+5HlqP0HO1MAxdC4RN/QyPkqAv4z7vMsTLpXtRDc5piqXJ/U9p4pNUNNQUj0F7x2bt
1dHGI97XdyPI72Ct7QX5PsmQ0vORXrTsMh9kSMnPgUne10wgZjRmxpjemLFgKZwT/3jijGX0VDds
uIWen4xAXNdcm7WfvmpasPRKzDtuxB4mN/PrjgYLLjBlZ94Vj5HyIHFtIkXVi+ygZX21tFWOR4A+
YOnm+Qtz0XTdTdlZtMFTRnDVkvUAc27f2vnefJkV3bEXKShw64t08heqSZJj+Esl3o4qXmUBGSJE
YbQZ4kjT2pkVnIA4YIpAbU9Ui1dsJpgvlqFcuvR1kx1dACU0D7FoijPy7qC9GAdB+O5cEGRkmDO+
1rrbicR77PMiYxSbE81Myni7qTO928JLx9RflMjERsu4HifrgsWmuIp4sJb8zO1T4VKZ2AMaPEDf
4+NcA5ZrhMgOiQWmp+MjWMtMy3aCfSDoJ0roRYg+D+qJ00W7TjOZoONlIt0MZMJGS4J08eea/n5N
03r9j2u6/Fq+/cMdzYs+3dFKRcms1IJhyJX86Y5m9gqw04SHRoVooNj8cUmzl6Kwsny0nIhTsJr8
nK9+bKzoTWkzfd0D2/FbnaSSx3wqErmiLYaJePwFhmmdGe/fKri6rKFmR0l0/X/ZO5PluJGsS79K
W+2Rhnkw6+oFEDMZjOAkkdrAKIrEPM94+v48lJJIJpP607qXuSlTlkQiBsDd773nfKeCumhvqtP0
x7AOCmMFFpTgNBpChTUwJ+pKuvfkPIgB0tSObb2yT4Ol4TRkwkS+YZSi+Q9lksXyklSWFMso6RT+
TgnjCQUnFODgqCd5BGSz0sOy95QOhjJGK2NOib9rHF8MM+gwkZExmSB8eKoce3LrqSN+EZxuFW6s
oWvwmccGeYlAtYxNFdRwrPKsIcuqGtIav5eQSnTaNFjLwIai7yY2+vm5xetlcPT+fs7+l36jcrN8
cOs/5dz70bugQH7wx+2PdAsdMVZmmH/scq/MV7oIjGHAAGCaAsLBGPXnGVWX8UfT74fvcHouhODq
RyeF+QKwWlm2KAaNf3I+NUwxcn1dIRkwDIFboNN0LOfUZXkh27IQJ9lMN6WDImEKajkwyPr85A8h
CFeDdNZOk1eGEq/qKSAQGlpyfeXUmXSpWj39ZKRIuQWp1sEz6CBfWHSNUn8mSMKaHg2JI4MZ+hnY
E3QQcSW0Eao9r4Nm4E8cm9fAxdH0Cg0FKsxx2ZeSs6oRWORlIj8GFZqLSh3LVSF0GAODHrcX2oy2
4N9qQq/RJWr9pTxpOISaYw57Yzfk1i6OaxINmcUCIFexVknrTiWMdVTZDIQ+hFqcyaeos5GOUGOS
gUhEMnsjhlGhL8nqOFiy9GgkjtFVxwpMoH0yYmlBmqJhrF7anFFdVehWZm1YAMRrjjEpbS658Ok9
577pWlFAppHmCu73IqqCcEEz6zKeW4iJiGQmWdhoORUQQv/YRASW2XSn9JaQTltobCyhtmlB5ezy
kwJHaHGgkMnL5iTQARRIa12odvrSVl2+FgmzBANvA3FP3Baah7V3V4m2fNIX4+UstEB5oyeXI/Kg
QuiEHKEY8k/ioWSeoxWnH5RrsEwxa8ZCZlQLwdF80h6No24vSDNBkYQPe2YmnZf+NZm95bo/YbS5
sfNtXvc9+zhaId+U7H2kQwFxIanuE5MfzvdK1fmXShfep6FBKFluPgR1ZrgDUJ8ljcP7RGmDpd9i
u3YgjzNcOE8Fbs+Op0NKEooXTtlzOBuLSgvaw4RAC56ybnl6bSeE1gE5lHpzW/eVtVMN+jx9PF2z
5vI1ZdlaD/kfpyaKYzQ6/K2TUNtHHTpew23Vzo/cumdQsu+NUtpNmoVCjCH20TAaIi5qIkTo44N8
9NQGgkYZp+050lfygLjRoMwO5qqujOrM1Dm/SEVBAM6gugz7uzWEli+iMQNMQPEmlGy7YSQoLu0D
ZWXovk1qcbaSMuebKjVQ8bPLoutufWjBTWnhQVal8oKY32mrCtl8UMwbyaDBldGMupFj31/a9lMr
jWdRap0hEjyfQni1Vhyuq3ECpjyveM8He8rPjSz7MvfSmaFE51lISETUGf4+twHCZcCVV10YXIfT
GGwJZ9zWcb9JKr4kO+QYPESxK8WW76qJ/RB0A0+gGR3GviDFLuccKrV9BuWIxEUz3TrYu+0a0nfN
9LxIFIRJz6YFp63NVhS0q5JpmtzTBwpUOpo0h8Iyxr6jn5HnTPwtsHy4oyEFcHprp/KBeuXW7GX2
PzzhJrFVjrnz7fm5rJQrY+62VmcDHsyWJrA++CwjGa2Jh3jkITS1tVn3yyYISpIJmLMl+ZVdqN8c
AIpulmpPrTNd6RKJd/CU91M1gw7RvZLvOIshkurMbIKs9/oZNxOxA4/M72+Y4TD3SOJt3YVHIN+H
zIZWjTPLH4uNlRUYn7l8asiXRJ+S+DZ56jxtc79bSAxwkKgza0k2lkmEbhlvzGZcMVQdWYmiR9MW
SdblRkIBmITWciqLA/4te5nLxRpgT+zCVz2qzMqiPtiMoBqzQjonM2o1pdFD1YGzTkbsdNkzU2TP
B0lJI97z2xSk4lPhd1ek93FHyuTI0mgbSEcmNQhz+wKWBtF6taf7BNvp9nXTmisqdgJPRviFzk0a
z+qCiSvSr0FeZ+TEOz4h9plPVKclr5j1PE9VdMEKtyLDwWvIsjVtpJJBE27psG7Gub6TlZbqwr5m
Inhnh82VcE12GWHz5VMly6GHeoRpKXxys1w1PoGogb4MydQNtPBSAwpW9NoVddazIkGirZndwUUr
ZXkjOf3GbqSVHKbXMYF3raHcUtW7lg/fzzRKSLUAaORuxaN40Tj2StGaneZPXLBakok9Uvk3CzCT
OWgj9ZGE8Tt+FSli6OInTGckSAi6eThAgxgemryhTSydgSPbzpIFmpOxYF8nqxAUmBuWfkWe4US7
17TWakt2X5d/aZHxTqWFdc9CEIOclsnfJrdhJI4ZXQnDAcXR3w21/Lmo46tCUgjFGSm0Oj47CLt5
u7Fag7vTwgnQX2L8OStn1K8SFJHI2tijf/BFRoae7XpfweQW2cyAo1WWTkdoZeTLDG452FAmnXOU
lvclKNqppmvOWf3Wr83Lpm4OeWNcIUqVXZBF1x090r6ECCFkA7mRnqdGsKOXLLsDcWe1WKjm4m5K
2jO1Bv1dhjzZA62pwWsGMT7CQlnmt3U57RS1OJNUwhaJ3/S/IvBKrxsELx5zvl0tA7mAfEq6JhtP
/A3c423cZgTTDC1WXKu9h6xMsyLBUYo4OVK+mRkd6ba6S+pwK6vKgfUWYVGdMOJpzhgL8lySp+rN
snIfGk25crTkJmO0zLAlWSeacowTO6aRQze/GLQVOrmNn5jeoEqQOeaC3ETm6MFAnMakiuQOskvy
4xiY69gfdyPo31IqlxKBly2kE+HY4AlgWBr31rLrgmUdSrlHUhea7c7LUjYJdOWbXrK/9b2xgsW0
htK1iuRxSaed9achNCkY59WY5WdTG5zVrXFDFB17TUs2B4f7Nko8MjGlXa7q3OtYQwkar5Vim0rt
fqY72NTlY2fXyyBuHGQJ477XGTNkMtvfiyPt/6jBbWj0NU1L1/DaoZh63cFsh7quuyiXDnJGLhpY
2uRKggby8UVeAwBEo15cBMyOrKHA1dQ3jXoi/WSTVEXpMNpfa7LFuvuxQJK6yNCpfXyl9w68L68k
XsmLA2/hF5My+1xJtS9CnU6BhWl/xkv+Ke6+RIgZPr7cXycQvDGeJuyo9EEYmb6+nEpUmu2nRXDs
pS9td1YFj3lKNf2z5njnC3rvHXFa5rDMZdAdvbmED9RUdqYyPIJviYd1N03LlNDPLFhHTATV9uLj
y73zjnTFoWhhpkJD26SYf/kBing9dZLb6Ii3zI00qkzsiclv3hNl/9uy5NVFxN+/+JYaX2rx9nKR
mEZyW5/HTrj4f3sb4m2+uELfznT/ENAf63JvDmDnihufaMKPL8Lw4cO38earKRPMaX3WRMdRIrbH
8JzoiBOUBe7eoK/dHNSu+c0V3/t2cIzgCUAMZqAEfv22ksjOojxWoqNVXVZy4JXp1vKfP35X710D
vbCpw+JCl2a/+eh8YrpNu6/jY96Ey4zc2rzwhvT244u899FBf2VQCAQPasmbixRDaFlRNMZ8P/e5
eR5SKcYsBo5/DTxHR285+JcfX1HcU29KYZa4X1d882WFEEXrUpmI72SAi8WN8JnfLAbK609OaKgN
xUJlTQaXIJ+Jcv/lTdcUwNjDUcmO8Tm6gi2b5x7TzNK4DK8MD/TVyvak1cfv6vUlTyvrq3f15pJw
H7MRfWp87M0GjD9GDOy0arH5+Crvf3bMuGR2TsM03nxb5qyYVpvJ8RFgl6eS1Igc6uMriE//7beD
RpO7zaEtyBD59UdXYuMkvBaOiUXpO9kqp80vkU6udhz/5r2894m9vNKbBY65f1HTzY+PCmBr+9Lw
r6v5N8vb+5fAMwuujifJenOrRUrS2/ocJMc8Pxg0/8ZIdQGG/2are+8R4mb7eZU3X31S92E7BVwl
Sh5T8us1aQmOwQDslbRHKVmnxm++o7+8LXT9YISwKbIVIcl5c1SAy2iRYlakx7ZfV/WXwVxW89XH
t8FfbrQ3lxDN3BfLdt4HfKBhlR7heruKhPE8Nn7zsb1/CRHFjDnSoc/2+hLxOGZSSqV1bNJHad4y
H/vNBf5yK/MeAMCiSzBovJH48foCLJ3WoORzduScl3XkKcfbiEC63Hk6fVb/dmVV9cVNs3hoH/4X
uWFAWC4IEPvvf/ZP9ePTt3cmEvzUz5Ys3VXQEgaK7xNEgr/6KW5T/lB1JhUO/VBWrRctWQ1cBSdh
EBMIvh0CGXngfrRkCepGasJIQtMYHwqb/D+QDZDuzS3wa7U7yQYsosyYSwj6BFOT17eIJqn0Qqok
OSiy3tY7p41KGZh/pkuf7SKx0FKZDLI9IFAVTNtk0akZAKxsM263QHLWuUhoFi2o1v5EV6d0y6i/
AdJXn8kjYXl3vghtNVsMkhMHV4+URhJdEyKNcaZsStWAFYfDvUimwygRxuFY6oPPjezhzDgryYrN
zZEhBemxIymypYiT7ezxE8na38zSuiq1gl8AwnYTjAbyL7vY6I1z2ZJO2xfQo9An00NSZHNZIsq9
9UmzhaDLXFqeWi8ZlQPJTpdDBvvWnBAdByIOd6ztTW9irMmSYeMDgNRFdO5QTN2yF3G6RVH1Sw4T
8aYkiGLpIIlm/uqTjluFd11StYvcKJN1AIndncUAUBOjQDTRTAUHMSBEX0UJXJ3mhmC6J5zFDBPD
UC6XiRgwNmLUiME5uLLE+NEUg8hCjCQx2BuHSIwpA4WB5cTkshIjTEIXgaGLsaZZWe26FqPO8DT1
7MUAVGUS6ouRaC6Go7hHe0y/DEwRlTE7jcUY1RcDVbusqfwyhL8BryGvop1uSaaydSBUJSt1SDA7
W4nyVak0fUEAmWtVcbwPybHBkEcipSBjYbd09WBeyUZ2SXIPwZfjVOBDrpMnwt0/V01yXsikfmfW
sE6RSXvM5Pa1I+2BYHEjZdHCKIGihfmuVOt7VUrO4yEq3ErNbrSAcLk2tB/1sjrC/bvIs5GY4rC1
EqLQJyBJ2JY1LLRGGM97/Ge5K8OgTkoYBZre+3S1w22X+UhXfLoOo6nay2wOHueRZdeXi4Jimw5p
IUb7hpOHtHuNRzrPtdAVJB4msGahheOyU1CMZ9NtIBJ6wCQY9Mn6GPU+rXuM4Bew9LOFLRvkIgdZ
RHplQK41/xKPrhvSarEooLxEBt2aGsSS2rPer6cw6hfyKEOlA9uS1ISIT2XS7GSU+GY09h5dWHUZ
CSqaDB7NFJw0H2DaIBAQjmCo+XljuRX+LUcQ1pgAOW4DdC3zg28QxFKPp8trBZctFoA2QWqbCPNR
ZJSWnaC4FYLnRsPCWdnc+rJgveUyVMyFD5oLVxcNYWKMYqtIdrmAwv27f3wfaHMS+llh/2X/uHjq
H749vLN/8FMv9w/mzmzkqqpRZbGFv9w/bGH9gWhgQ0Zhaf8hO4PGoJpkV5oMmgXCgV3nx/7hMO0z
Tss9Lst/ONUDgfJ2+7CYfDA7hPmI4INX8Xr78Emd1Aw/mg5RftQmS1g8IJ+NrXM7zurgypNauY6a
nwMzvyLC7utUppJnkeGEPBXbHbHhSE9aZ9ckAg5GOswomV8xIu7Tzvk0z9WtNmAXIYG2kkzBmLfu
0zIrMW+YqkfiylpWs3PabDT4/N5xk1mD61bR5zUBHldm8slkTV9pBc5oha6pCsQEfqpxl6TWp2Ca
v+KIzD0/cTZD1d0mUXusHf0isuEQce68zpLxtijG4MLv2x1xiqU7Sc2ZYscd7VxofmPBe54Xsa25
ZFVsOztcwbL0mQLkqzyUPndl5DGmcKnSLlI7WM16SKi5Zfkg8BqaQfiTSFVaVTYjRXiCLtaxb+RY
HZpEMTFNVtP1LGUsLz6q3bLx5mpEBBVrkScBMELDIsVLRzLuszlRlyYRFyw0cgpPLiL6cIBLK42+
sGLGC3voFynnkIUz6QwDndnVFOKKaP0v59r4RJQQguaAsKZrBxtq67idUdAiHM2mmW+VYZhjj1Fj
hW0bvwf22ZiOxsU4BbEwtAapvoBOD64ZB5VtYo9vprWcjpt56M1lx1zExfu/BsLYeyeShk/zXLcQ
JDBVeyrha6Ry47j0Sb7MOisYXR+MGn532+b5l4ixgm8wYCTl0tCb7dQBtK2tmJjGfINwXlqGSUmE
gNXvHZng82TSzthKP0+6ucvKEgCOMT1UilHd6hnjgEy/UhCDDeWwRQyxHuPYJ/bMJ4Yt8jc0GQov
qLSzCc+t60h00ycJl9ac2Z+knjGTWUlA91SG0z0BcuxLtj9sZ8eA1ViUWPmDHLGhhD2nKtdRFOIl
tTjBqP5K62jNQrTHztl9mtP0c2qoz4XGZ+bH1R0ZIee5n9zS5b8Psvo4hsQNja1NLNl819R5xq8P
N4TAWF4KXzAf213WWdzN8XzXM8fKleqhnaKlZahnxHQtlKi8N6OhXfgakL9EzlFw1OlNp9e3YWP0
btmRIipbyRmD5mU5w7hsrfuKE4JLmMm+5lwFam8ta/5nhTniWp6Yf3bdF8MOrrAlrCwlP9BbPYyl
7PCMzSp5cRwCKjMnYbm/ULVgleTfEo4DXd/Gy2bw10U0QJ0WAGwQ08cIAbct+/w/ApLdWs0dqTOj
x1nrIRMgbUNOWk/GOaikAUCFfroxBXZ7LFLYJLV1g5r1jDnB/WyH+xRSt6bCXhDobmiR3/xM3mSO
zW1kVdu+y7gBfTFaAvsN/9uIRUprr9xwG99ZAhEOWfqihRnewA535omYAmk4Fj6nnaxRdI+oLwtq
d264qcCP25gc8EmMKRk7zlWCRtENBa7c70N5CVsDXanpfB1hmiewzX0BOfctw180J/D5VDnLOjbO
SrvRjzN0dMwFcNJJ8Iuvy1x59CcN228y385Fca7NwVclV3Zd2k2bzHekZZuoFyFnW2HHapjGIY1D
nfhUlDBgO/R7KCVLMbGtHLdsHT4Bx2K/N9La8/X6fFass1ZVdlGnbMOwvaoD/A7yAC971i/GTjor
Mt5llFSLsg2BV8+SvqCmXwDC7TwCkhb/bvnft3x26L/f8g/1Qx5QXX8vI7ff/vuf7/Q0sa//2PKB
FZJOpvLbLBEXLerCH1u+Yv/BJmCo7O62YegiqerHlq/9QWfeRMGG/AdhOZSln1u+9geadVPo1kmk
opX+j1zCFGtv9nwwYxq/H7wz2WqaIqzKLzsjlYnNYgBkxsFdCZfanCZwbjrHP5PGSj7LrQZPvyRP
3Rc9DneRP93bAUnGEPMfNax5C3Tog4ViN8WJWWlyjLy2wpweRzGSXTMsPqEDNyec93ITQEaZMAph
e1BZtLX6QU/96InMDx/eTW4IjggUnhyrVc76SKJVFFdLSPgqAeu13q+qOmaOT3YkmbYJNGCS1zkl
RKWJ9ASWIcVe/SzZAc5gjJ6uEfk9xiYWEVvBgyhwA5IWOys0FIHbTBj+IeLv0k4BIlycNYa8n+fh
UtHm87B3RNfrXC/SrRKE2zHyZ88wa3QtimR4RUM+tdroIRlU5loupWPMM39V+vZZW4ZsZgHHkMBp
lPO8KWpPlYZkOZkgK2qYCkAgu8PYNgcpGZE6BBijJ53TAxzmJX5Gk1AEs8XdEmlT/Zxo7XWUytck
oWUGyfZtfpSqZN5rOmmIVbkKSjO8KyJ24tb2/MbPmOahQtYKSERg9z21BF+sFrZLtCinBS27lkxj
WJU2u4NVMaCv62xN7KKzKdFsURRhhwZxvVCVPDz0AUL8CDI2eKJm1Y5ScWUOVCNIvclzrV3N6XK3
VBUviqS9MmurHuo16dilftuQR8MShjqGdW0lp9QcHPS8sZtBDpdWeW/4HVwuRXKgc+S4ArxmquP1
i0fx+L3r8YGJB/cEFkSayiS9ceC2TxlIL1p+sRwOcuKAYVLlkDD1dFAfwonPCaJ0/ud08N+Wmehi
/v36d0y77KH56/onfurH+qfSMkOMiO5WdMUwNP9a/whsQadLr4ruPyukYNP9UjHq/BWAGQB0f66a
v0oeOmwqRcpPvPw/aJnRnH2z/hm4dWikiY4ZOhX8WK/XPz0McpS3k3IwyKhMNpT/Kuf/KtnHfurp
Aqkazp95tly1atP1EDifJRgAbhaSl1kEa8dPqWQoLZjAs3wW9aXZF/jcZMBGgWdm41Ybm8XcwTyS
7osg2PnBCh3VQYmdYF9Eje2ZhiC/KvPoJo05sFDN3zjdxzxJHEWRet0jGsZGokntSh/a+7nA4Myx
bKEZ/ZFzobasMO7x9/LZ3JOVif1xr/M4AMhJP+US1PSslp+isnkeZvWbLaHSL7ok9Gp1vM7scaBz
hpZ/kj7XM166kciKGDonAibnIjen6UwiqJA9Qoi26FqNPisYBlr+0DzzFJP8MeM37ZUFug2VBNuI
9osPpC0La5hrhfYoJ3ecEsPGpOVFL9LArGSKsaxvtfWCWm/SPSNB1sLmoGnYY9Aeb+tGa50HJdLB
qEQj/UmMkiG2UzgnjFkqShYJZ7qgoLB1UJeeyCiqna443SZbTe1r/JqCoTIJmgoGB1y0c1pf9gWs
FRykFeN7+CsqvTtAFyzBoaCzZILTklXmXTFDbuE0Oyx1QXMpigZPhCC8jIL14gvqiyn4L4jPdfRV
MGHg7HuQposd/EvKAKJ09wRWxAtg+M0uRMOxHgVhJkde3SwqwZ2RQs1fA694VgWTpgqrzqsEp0YB
WNO3fH0IgqslAbX4PEmociNBuNFl88kRzJuOcJ5lLjg4lLjbVIaMg18+PdpakCyVEzdHooZw8Fqt
dUHVSfrGWJPh/ZQJ4g5RyMjIBYXHEjwePjkk4oLRY0MfBXENtwfAP5+NYPnkguqjnQA/imD9ZIL6
U05M8QtsN24jwEKtLdVng+AEBQPEICdESIAKTVuXpFgv+fJ0OATGc4QVDxFliCJL19bsIoCIZMEk
ip0yxGdl61/ljFIV9S9aPkExooLCyl/qPWg/ATmKBe8ozjvIR4KBVJMNshlmiHbLELGWTJIavCRS
w+v4OcW5vbFR718WCt5uBpANIYyzXJ9pVPK1PN6kkhIsUjkFQqE5yapIq08YswJPnn00u0CTl02I
Vbtv7qWg+pwWORZX22GfzihA+owmYyxDjrKm+JOSF8e4aqIvE3E8+EWC8HzqbBSjJbCDGexj3mJx
M5Hqo3yutk5nPoVp/4Wjz2oIbKxkjvQ8xK0IoI7uaS7vUj29E2CqNVm5ppdmtVhEnD0fxbYj27Hg
OZXEHtpm9g2UzmOlhLsSGLWb18UFs7ZH1XQ+96kEG6Iej+0M7N2u600xN9fN7NxWoekv5RaYW9XV
tMKnCEhTNK01le4ADmQaC0iMBnbm2g6vAtzVrhXg7+pSrToz5PmBYlvws9RNVIS7xPIPtjbspVEj
8QbfAU8KrVZ6ulh8ohSZHPj5r7FNC8BM2ngTaH1EkClcvRGg0468IexAZtGA2cu+Oo3BmiV3+dLU
qmMxSNc0LkRccRLtgrzjUS4CmuvTYPOSqM8nCelhObIm+cUQXGbwwSnnG+nyhIKaZd+nlOKireBt
x37krGWinK7SoC4XtkoUAStMB6/GRAlsjM661JVpOcehLaSTKSuMNa0FVHTpN5EG6jrTl84ckz9d
G88cI+dFos9bAhMOlOZnmRafM5kVuQGyutYAAC81ufRXBPER0QoubU26FCJLOtQb1RyNRUy/Iwoh
X/pRpK5VTTgGY15tmPHUqgOS9zRHMM8BWziQWKVkwdUect6pUfeG8HEHbhcr5lqKabfEGV7xCjQJ
rg5wXixTnftvqXcq9cTx4++POldR/1Q30bd3qj3xgz9OOwqRxZh2mQTKKDWE+ehnsccUkA4uJxpK
LQQPL/q7mDmoC6noGA+SXfy62GPgy6iRE75wOf2zdLqT+OXleNBC5sVRBy2EaXIOeKvBCtUcOWin
qfu6qKrSOpfSUxotp5UmkxeOHicHp1O1ZMHqoIB/Grp5pUyTYrlTy7QKZXV66AoSacnFkbaGkQNw
SSSQ1GqTn9HVyK4nLR8O3aiX5yJ86LEN2mGnZkNyrSsDDsoidnKvHcmPUSN9U+i2v1LiGuG2hc3j
SyizkyPHJ4GuHkpXd9J1oioEfKQ5ADvKi2dJi+YrtTGjDs0sw8p8UohssR2qCrNaEL+jumy7Gfgk
5khZ1vk3KmeNqw42ZXgtx0YSNAS8K9W8ncsQDHBN+a2xRMKvV7lgJ/coonuK9jpcsMAU0wNi5f6y
rhWbnhdDSJqjM8LyCyTJ8TIzoiq+leLZEO3SxLKYK5lVTTKIRkqE0SM1IShd2+o94L6ZUyhBb7Tl
ELnabQltRJS8cl87xlkvqmH/VBhnokbGwEa5LFWidJ6iXNOAKTTxdgo5Yi+KWb+alaa3NqqowAtK
8ZZIl11pIurdGzhmtnZlR/3VHNvKaqqNnEibkBtz2GdOOuXS90Lr3+JH9Er+fkX4nqFV5w/1t3et
XOKnXywLiibiJYXU8pR79XJdsKl/TF0WsxfGOz+LIM34A60X4gAyJd+mVmp/2ESc2xZnbSorENr/
RDeAHOpNEQTpQuB1LBCbBogeWfz9i1rZGQ2JDFkc2VJiqyBfuF9tHOJbU9zD/el2bqsWTaU5Sdzm
dDW55f2hauLbKU4YXJweilw8H3kF2gKKl3huxtMj1H1/ngJiIHi6xrSPedaq70+expC+conP5pHk
4a95PtvTw2q3rcAKA1pxc8nCfDAHc3yTFWRN6XRNVS9NZIw6CrpFZuJxuCrLlC4K3SIg9xHeC8Iy
PuUKkneXUKH+U0kbmdG1Uc6Tp+ezknpSU+UeNG37qCV9ea9lVXwvGaWxIUKEiF6lT/2DJSuB7aZ2
HO3nhqmQl/lzBpY7Mn3PKdRtHsiZx57f7WXJyi4sM++vMtpeyxqPmQ4oN+83neQbIBcq+4vKgWhm
huQUs9vTnR9dy44My4vRoF9Jil3M8OmyaJPW1vyYqZK2CAN9anJvkiujBhTgGHHpu7rWJcXW7rV2
bdR8Ic2ChL7+vo1qReGgT82kx/il8iVLH6sVK08vIp2Bp0IuBe7GmRifSB2sLbmdL5u6JzHEyZtL
h7ySVUw8Oz0ouls3MBEuHK0p6aCfokdyKejBkDZiMhOc4knABhFVYovUkoQ23c3o0N/msNIB4hxy
OUo3spZjIJFs6Gvbiqn0CE0ch9cT4aPBk0OU6xqxgr9KoxAca+SoIca3huOfVFsLEp2bO6jmZX0g
G9MhSqn99yzzvQGtcbr4eOVa0bp+jJrH9wIA+eEfCxceVObKdK7lU+rGG5qXgpX0TzDwiRr8o3sN
JwXrnkBB/vypH90bTkH4rw1w/xCDT/jLf9C9edu7BjLGuJzVT0QIoB/khb9ctoyUnOrYr+fD3H6u
bJ/syj/vkL8lAYnf8OvEJGSwOr8DpSUmW9ZFXbyCFwvjXPpmOZaacoAKiKEPICHWTAN3xubFF/BO
s/L1O/nrdTg4vrwODp6yqiODLpSwdtfng/Xt4wsIGumH7+TNbD+giwAZineijhac9FuLIlKaPEfi
yNcvac95TX9fdpsuOrbQQ5ToiUU1wDtWXLb5dcB5rMWpaARLG9tToF928fWQhfhV/iTO/u1HLuQM
H75SOoYvPwstknzcI+Kz0Ej35WhVfu56CmdFPww4LiFUuNH0bEn06fijbUa/kaOeMifefumYLgyB
YsUwJLBBL18AIHml7WVrOkx9jLNZcer0PNFVjVqz1KvSc2I577bQFXf1CMSzG66UFHvjkBeY72Vp
9sDh00YpOU6u2kDeDU5LUyTNwNBou8GXGyD2UqzcjloWr7XEiW36CnDjYcrVZr0t6dmpfbXC1bhg
IrwO50NvwoiDOSnO3p05r+vROWYQNud45Xd3Iug5aG6awN5rWJdqjLM9LW4Vih2UK8b0lI5xuUjw
CpV0QkzqyZljajQpANq6c0vOllA/p+quiTNEEegfhvxMafVLFGExcK0+V4vbzEjdUpu1ZeHctLq5
QNyGsp7i04gCfQH4nsQBm9q4SNJ7BhhultHsdwwIedjyvpOt/vYWOWlpf31D6BxfP/j6m8eFZPom
xjw9H+S1tvG383n7WVvb2/rQuMp5u6m8emkvHG9aad6u3qEDW4z30hYC/lpem/toFX+Pn/nbFyQe
nl+v56+PL4e4l3eMnqadlYlbtki2BcmVw6JuXLQg8vcN62+vI279j67zZsGzo2xOQ+ILDxKCs5vx
WyUMuR7tVs4jH68XJ8LU20u9fAjeHgl5XbXmROohJD71mIwLMpfRLg4NxwovOFAOfXzB91ZA5qSc
Q9HJUqG++UozWuWWlWrqYYgbN5+/9tLx4wu8twC+vMCbz46QUE5jgaoemn4hWuuD5AGc+c27+N1F
3qyyzuiYMy4D9eD0Z3O1a80b1fzy8ft4b0t6+T7eLI8TezVjO0M9oBT3xpT2t3nlxBdOOH5/L/+/
67p99FgXTfHc/m/xmx+LcqqjIGz/z+v/bL7/N/w9IZx79R/4hBFhX3ZP9XT11HQpP/r9gRD/8n/6
l3/O4G/w/v73Pw/fcCstoqato8dW5TRzusKv+bwQvn18PNoVDxXuxPd/9OfhSP7DUSwEx6Kt83q0
z2jLAI1BQccZ9jte7sfhCNQpDSDVosqSVbKXeLB+HY6Ahv/5y07dox+fxPH7k8mH+LdLBSSvV4uF
EIPL9DpNE/+QJnSFb7YxjH8ZBIapPkwQDtAFqZ3CtpTDq96alAeHSGcpDK3wwjTI85hN47JCB0Oh
JV9pvn6V1N1TwTTfHcdwizf+LLSUFTDQc9LFPamfd2lOvlKukPKOUrDXR+SA2rkMXsrVuuyCFtnK
JyC9CaVVMUmXZhzeWlP+2RhbD/z4k81khbYKOKp8m3RklUG4oc2pbQ07/FRP8MR0+XJK0otuihYE
4VyMVk8QsTmS9zlT+CgefNVbo0LOyjtapvXw1YnavU8jn9z4L1qQrvu23eW+uYKEc9br1YUfhhdO
wXwA2F0Qlhcd9nitqPb1qH6GaLsJFXKapsmVkuIQK/EFp7Il4ROLqpkXodzfO1FzDMNuHwyT1zO1
0QfCVVIT6jL9aOe5qR0hUh86L+y63ezYD6D+XRiPn+O430qNsyCE4SoMZlq18SIrSUMoa7IlAMv5
Y3QIDGuDRH+hxOat0WSbeWquMrv9mqvjhWTnF/Srznsz28Av2JH1s+kqHOtB+WzF5QWHmOUMe0sL
9CsrtJBUwgRorZzOezrsk86SSGMgltVPHrRCv3JK0wvRcrhsW4dOas8DNVvMQb+tcYk3lnQVO+NW
kf1PupBGOxqZi5HiVmG09JkWMp6RK2hh1T6yUxAkQzVeplPnL4rIfLB6ArHLaiTVwei8YCw/qyqz
nWwYv0KJc0QGwv9l7zx2JEe2bPsr7wdYoBZTkq5VaDUhUlJrza/vZVE3q6OisiPQuD14gzspoJDI
pDudNDt2zt5rh3K9+jOMI2jtJtnSE4x2Xdk0yUVfFjTQiW4W2gabJTFFIND8YWp3hlTKm7LuM3GY
vEnLrtoXgBq8tkZmoBDteJqMZfCHGc16NqHmc2jpoZlbkhtVUekjQuJA/LxNCqSUgHWgF8ToWAqY
gR6JXUAOKguxCVB8r7dGfRsMaMFbc76N9bn2EWAhjdDMdL30OK0poxgQhu293XQovE0KtiQDc2rP
lb8Q2mEA7XYk9U4C9F7amo9W9rKoxlpv0jOq+dEXYRKIX37Ei36i3f8o0eRMTk3fwZaZdUaBFVo6
zQxXcV5eq2X+AMYm9quh7dwAbKmHpA+Pe6V/DUPIMHIjKPBtDb9ed87MPQHsTMl3R8Iihr0794YB
HkGq2j/CynkpZvUej9EPPj+Du1JuUbtrma9VkGSYOlQ+kWmRS2hG7A6VgjKk8TU7vgxRvrfz8UGf
5p+9JRNDZO/1MorXk9Sv2BAe4kVdOXlWn2caQ+t8YMSo9pJ5KrPglogpLHd4D1ZqNID70WFO4mV6
Gumd+m2df5dKu3TlCWC/xUB+naTTLpCyTSITW+wsA1PvCN1jN11i2frKzOPrpA9Ebk05z61lbjUT
9IQVZdvQbiQm9SrCd2YqtaZuglJ96mpGiSxTsN+NXRz2LUV0/DSHiG8dSf8WB3UOZydxQdF9lfrG
b1X6rlMg+3URPGohYMcZMsSi9rKnQzXWekn18NeAGW6qu4hQcF9OsE9PJr/7FARPGhNZ0uEDi+dL
W9ephGzaGXlF43TGcsJrCbyIMBNN+5nLKFeHIBQqXUryNAb1m9e7OF5MPtuwR114mXKGafPSM5PT
dmMkoxscHgpZ3nejvbiAamHSSDPZJ/J0TCP5dgy7g1FEd8psQS5KTL+AzOLa+qj55iQd495W6Jyn
90TNMXzKK8vPrCrrb6MoLdbN2IaRJ5XgPgf0wZ6EfXankxjGvBKEn0xmnbwgB5gL0rmKNi9J3FNR
fM/XleCIWcqUXcfEL/xZj/5fFyObH6Vwc7V/Lz7+v65FqN8+rkWOfdz+v8vXuK1+16zhr/+qR14z
V1XsAA56J8cWzYpf0yfqEY2ZFJUHHHWhtXnbZabDTPuGP7CZFGNB+6se0f+wqV5wJQhj5qtd4V0B
8lFB8vcCX5QjRCzzH9JIZIVp1rsDRaMiI4MNEF5CJGqtCnfoM0aDbop/482hhTA/G748nWxKHyhn
Qmz09hyWK6XsVNk8ncPU2hVR76wnVU2atZVPp0ljno7pnPRgnl9yhKUKl4zS2cat2lUxHNDOMU+E
Yjgtfd2gPvWNZNeIpTWzPglk/LTSXzOLZcxeC0poeVVWo1xtUyBRq4ZyZTOJpGNyh1RSIU1lw/vF
TicSkTWzQkgxmFeJSEqG8gcDSqQnx1KIFShsykTaFK8By0WzRD9zOtZrTUF2mHg2IowVYxtdTUhX
5f9WSqXnELf1XNZuycMgvp79tr7umDqD+VvWCwGDrjRFT1qlHKIpalw5YwVKHaQxQ70ZII6Ovam4
Vied+2h4MFLtrnba2yZdjmExPJhGXtBWIYkujfVj3egr4pSOEXZTBVfwDhl07IeTeRiZvVFj2uDV
SlT0NP1l9oylnPdk2z9XSQIwJ7NMVy7rSxObyZZ9/thP8tfITOdDVIHL0snadO1MQQxBJszsEN5c
mogaOHfSY9JyZIeTsUGftRzquToMgbSZ8hQqZxxu8sxofOyCXrhUq3qMT/koGkaaDhA0qjbL0uyC
Jr6JjJp9pCCdBMgSBY4g47bKrmgnclKi/LZsukOkMTWXQBx9m4eU/bAJR4988fVU8ahOSryC1cs4
zi4AiwS7qapPo050rgLmx02RFDLBHcBsJcatoc+lq016v20LBNhF4CCFCnQU8HN3qs1BQhja7IZ0
mjdlJv/Qzf470k7SwDIzP2gODmI3So34uirs3FcmPTY8Be09pxBp76SJsmlt+VsqRbvFlM6dYt13
kbTJImKIbdTuQWp7vaYc8ThcDwWC8gRJVhOsWkXycnNMt2OmbuyxU4GhceONwtq28vCoCEF+ZYQ+
8YsvTHJOpdxpbtxMezqsVwv/6KAUpxwZ/qITX1ZJX9RW+SFJ067Ul6MWSFvHepiCl9Je9lgb7bUB
B6+xjPsaZ5DYrAeqmb6zu4Oep0dDna/CIFE8TU3RbKTOM8aAZw2vDVNf5ejoReiN+gVeJbC2yIsW
ZCIGWTDAee/sqb3X04EARxoSRgQScxAGt5iiPR/iQ0f7hTMZOt1Beaik6M6283ui4+A4j2tRKxOK
s68daT+R3kl8q7mvE2eTmRlbq4UhsFTIQ+/17kYfkz3f72Ak8gu7PWI8jcavUzbRWtUqbIn6lG4n
KVefy9G2nlq7jBvMkXMABjhIb6bAgvs2ZQoCsgDSWdxFfi2llGwi1BV3PQYLlYy6kdfiOFRGfO71
Be9o1gzEK/SVKd4wxDx4JR1REtaB/XUhOhnQsPkgUZ2shtbkOFPhPcoIROh0p+VhJoJzmPvsMNuC
v60aN50M/kKrx9oPh8p2FSU5DOV8m1fp6MLqqyjwWvwdjv5kmrcJv7xf99LiW1Nb7G1ONqeANLbV
tLDTp2b5VQeagG1mjnjlHH4j406GhsV9nHHIzuExyZUFnlhwnXbl135yvAS1oJ1gGgMYeCvct5pW
vbR9yqAu2Q5J9xMow4Ww+mQdBrCBMLg8q0m/Zsr9wpHR7e1WdXWlFqNGjO5dS9JTYs3HNjD8eY5J
ALBWSa1+z81u4syBmKYYngd0dYbeVURA9C9tp6+rhp85HYm8th6Von0weg6hSpm7zpTcTtl8LJxx
29UE1klj8hhG8y4eeUUn0EhBvglz2t1yZt503XIxWvN5ioxzmeierQ+P49LgWyv3sbUM60HndDPJ
jcevsSrM9GWpBbMlMTe0StEOZhxVOzvehe0Urcg0Im/WMG8RTnMHMyygYWHdYbradxr0VtBPgNwj
Tmy0EyXseBSE3bZMwkcDqperyc3WEEkd+owMbDppBd8+j6yj3VvbJg33Smc8O9WAWqH0Kju94Gff
pjnCKETicJXTLxK5OJCut32GFRTC4he5S/fcaz9eJrw3qrPX+/m6rWQ+po6xWJa2jWG+BHK1Gzjh
691wS2CIj9ZkWbfoIt08jq5kffpJEJUh8M0vsg6dXV3iEykmmzqo7/KiQyxVlFtwnPUWAtx8VBTQ
36p67Jv4xSQAWW44GKhq2a2LXFbcUtfHK1mF+Az6XVuldvNUyFG4lmT7QrYVIVVFXR9axSK+KZry
NcLUb3GGyw6EjfQ0VibPC6Pe1YwEy9X0OPsOMNTyVaJfTH+c1dOIffvnm/rsX32YD2XnDhoeR0Vf
Q2+Hbo7oyryZGCmpoeR5EUjnJLnHspg6X3Vj8+9dQlRaby4x8xSbac8l5BpjAyf46gLw5uNrvOsy
UkmJr2EKMygpGIb27muoaj/noxOHF4LvWRyZsB2n6Q7a58eXeccaeb2MUGAzPTFVoX/4+1cJy2TW
rHQIL31OjibnzlblPazve/1qHBTXbDn4GH+Syf5zlBAdvg+PEhAv3C/N1y/Nl382NsVffnOQgASl
IxdDhP+nJuWvg4SMjI2oJhPXEgBsQcX+1dg0/uB1RZtPvpJNd1O4h381NrU/hPAMwa9GGxId2/8K
c/GPgwTSf0E/5rFhVmC+fzS1SJHGjtrgHMEmbc/T9PzmtvzmDdbfzT44qmAw0DWas5DXHKIT3x1V
+qDVu8CY+nO/GCLr7idzv3MWJDdG0/3ENEh2chP7uY7aVZGKnWo526ZOsO1VRCBKJiDXUdsUVrOV
Wvku6aO13lbfpQx7jOocOedPXtuxBS9RdlEGxUiP2tDV2iWEgovdOiZcgJvoGVGdM8Eq54XkCdnY
TWKxIteNeGexfiHJs3xdLGq1mpH6LhY6HVIyY2oWv0Qsg06qf+vFwkilGNK6iOoDyfKlGyr2xaos
aZWxoiK60VZIhuj5iOU2mUYF1jBLsCIW47kpDgQvvdD0pXID6SmW7VEs4BkreSGW9Ia1PWCN11jr
7SjUiJktXiSxDSjsB3kqXTqxQbT5Au8DInBYdbcWk0aJvUSrnZeUvaWo+n0nNhuDXWdK7T0eT8bM
S+MjPN/XlvUlUIYReyniYeK8+zT+0omtrBWCcva2LEwuEnsdLAQMnuozvF2CBaxtXhtHXWyOjTqc
MogZJrtmU9VbECEW+4vzkIiNdUmzq0ZstS17bsfeS4NPKIuTvS7pd53YnlWxUWuLfhuLrTsSm3jP
bj6Lbd0QG3zATi+LLb9k7++pAUZqAX4L4m8LjnO0tfZATT1o0Y86pOWROsKknmipKzhn3USi0Oip
OCx9OJG5vSsxQoRT8hgNNOZyapRsGI+Rmt2aonhB8feoUs0oVDVm0K9Lqhx7MdbS1LyQwkkaceds
JK19Lvny6pxP2FOX7zjlVxiTPVzYvpZOx2pk9tzXsG71GWdy91pwgewNqcB4C9bY+J7DQFA2iClb
S33PY1P/nKnebMzAOtVc38jPEtVda0EsSan3yEzzZCP7uog6UBSEEZVhmgjkpigWdcm6i6ge6XBS
Rsb4X+UczbeCjEsSxaa9WAb54RSgcWwuxIQqg0+ZlFCj9qJYldQGcZcoYJdkvJWpaKWe0lYVRa5R
YwLk8HsziQK4F6XwEMrC+a61HKEplFU9DlYjtXPYUUTHVNOyKKsdUWA3otSOXqvu4bUCz1+r8XyW
aJQn8RCfJ1Gu15WJVJZb4WppFXoE9Yiyvox8PbII1+gledUtWLILcRAobZN4wryXD5UpsMizioqi
OXQ0Miu9os+AVNZVNOGFU+t2yzkyWYVxfyQWgAjWtCo2CrnIpEk6q2VSFbfXs2pVdnWJUSXOLhaC
XMDBUnu9DALLHVTfjGV+aALti5XWW9a3UxIpuecobNxzJh0D+uCiWw7f2zQmryOX7rY0ekl47oPs
sQd2PA5wXjBMXXSgsKwsXpPoPojP3i+r4mDVFguiwoe2xuuiJ20AOx9DlHkf1sEWc8AqAZ9SUS3g
0dlERnSSM/kRpBhNUyGECLJNMaV4SQMDkX7njXZgIjWAZhzosfW1GumsAooAgK7XY36XKjlBcLG2
0eAgeNpS2whZF84PcdycFjs9ayr9F6e9VmqzJQWBUxf4XBixhs+St1NJO1qFGpqKbB7uafjc5Wru
9XjZM78Fxryaxy53WHP6/Sib5UtBfC3rr/SzbiPZn3scn1xO95uKoC7I3g1q3NQaOLpEwwZ67rxh
6Y8eg5orqH12V+Qahn12z32Pn3GfJeG5gLboZYi/sW2gbtNL686oSwodPRF8HrXFMKEHAXi1+s4M
5ju7MJanJSjIdOjLdm2Qw+Ra47TuONRtKnkoNuVcl2Q1AQFD/98/NTEWy8me48XL4jFiV4q6rc70
wk1HbI+E2/hzXj6bQ7UriOyZrBkTfXmRZ2uf1vO9HCWrgeBUF7r7fZ+pd3ZfO4dpnoZdKSWNXwbZ
7FV9AhBYlp81dFg+7Y36qTcrxa9KLGFpxINuAUV3pUB7Uienuw1UY1rbPZq9pJfn1cfb87sR+6uv
E+Ir+jGLfA8k838vGcGyY44Ok+LcCfLUtOwMc7wem3b98WXeC6b+dR1SRgws0rz274uAzlryNIyK
c55lJwgl96xKVzY8dJZLNN6zww8wZ9uBpIHMTretGmEcVkl0Kg6sVEeUL25CZhPsixuzlldaRPCW
g8onDH4Q8kgDnVdAX+yzKYeUa3/Vdb8pYH57h7ALWLD0DDiBTMDfng+MvC/jzkmL84gNOpwhvue4
0z7R4Diil/r3Xqv150kHmwMwCuvd78AxvprztB/OFamALhCTHf0TnR5gzb4BvlhQtJ+kKiuvAWTS
25N3oz0iYZorFipNvl6SHAT20l+jSnNuC3alvhzOkkxXUSdV2jMgYgiL5TmW4v0UMB0ZVd4bM+dA
MjvGcmMo2Ze0yzzAEvFmGekytIq5iohbXKWd9k1CMYsrHD66VpuYrB2g8jVWs6hJXbYiSpvI3GGC
/oEr7ctkYaozSH2crOw0L9bgWtYsbWVlTE7Yh3N3mfqIuokpXOQkFlSO8CHolfyuHumbOUoIKb8C
C0Ia1tZUxtVQssUpQKTmxCI+WFYvhmwV/rQgmFK07BjIX3p93RvWjnXx2ZYybGSjsp0T/TkDXY63
D7NZBZBFo0206JQeE6+Zb4VMyuk7bZuOBIJcmfZozL6ksRp9mzNjI5sMsqwsOqklmi+trdexBowF
OMpNbprZ2cE9pZjLdKit9hMFFBPS3zwPvJDCcy2EB4KB8PapwzBfFvxZd7YU9YvmtEzmyPg+m4RI
EsYbvYQtohuoLJ5iTr4dZ43LinriruCqi1LMDGF76qTFxaZ6Mkr7SdOLaN3mRr3ue1nfoXgh4i2m
GTrYg72SSz3fqmzq/qjEtc/Yj3qEhUjOywKXaX0LrmvylKil+Tcy8MNwITJe12a+IGcxvzhCPTMo
peU1uXpvqjO184yptlN8jGgIyEgEYEpnPuGG3Y2B+h1ccgoUnWXAybZmMd0FTnK0hsarS+0WDy9P
CPa4Wb01huGUJtFtHRs3ueVszLl7IkZUd6kb5ZVZ99SCQOfanhmwLcyTWiL5MoYYH+/nF4lnwqsc
7VnRpCclGmq/7hDdRTDzh4UkNmkqSb1oNjKoBacYcPczuo4GX0+Z1dn2eLDILx2VASFcViE77+40
IeO2p12LmwVX2rcaq0lBhrcx8zn7wk+H9FJG09EqzPVI4HVkxYkXFwSpOvF1WtE0n+1lVbYEQ2QB
sgUKmtIMOZfwMg6Scz3W3c/YkgJ8kIxH+2TddX0KpTjy1bDzFMU8mq22gfjMr0RO9QqiHL1DKtS0
j46SEqxSZXwsCYUOpfjKiAjWjoj7TMmRZxcnTBYPJ9koFYFfACTICNR9RWHXzIJx3bG9F01eET1Y
J36WSptktA8LtHHLwQMwKvTxW5lFdyHfNkFsYoz2FTiILYR8nKr1EaQ+VW+XSZesEhLIzNrr4Xgg
27QGAyjiuysEoKOMH6/C3thySshMsPUg1noL1tR4ZRorKx2pY875tDbndYl0wBoeK1liWiufkNY0
qynQj0k0tu4QBMGhVwfLa0m1JiYgKDbjsPgVdcO2nGHSzSb9u4EqxCqBMZAVvBqCRvlka/vkTX1V
V77pH6mRM2O4Tfuzyb4/tCdSJ7xpEF3WS9qcIF58IooTTZz3O8WblUH45d6uDGoUFZwuWBnK8odi
fR+mm8E5FuETMotPNr5/tpOQo+uGroIOgGX2nic8th0kDnkgK1KZw1UVT60XB+qd0YblLipRpabT
cKgqqBOlIisnu7YN10xKicME5uGRf5cIR+kn/vlrYpeZbGn9gxSXl1K2bjPKN049XteqtxNNXL/o
wnXexS9Foj9KUVbdhD2jCQMczyY3ejE7cCksVrMiE+UYBJui06xHOqu31QKXXzP2vdbtYk09LOG8
MyrnMqYQ/dm2LQmak1rwMkn4xG1vqpTHvGpABga7sSINPQMd0hn5l0WeDS8bw+d6cppHVUTdq60W
fnJX/95vwbNEwNPbmypahW8el9Rk1tUE9nS2p5do+TrbnyQFfPbvv9s4ZCmjRg7TGVTbbZVAodLu
P3ksfvP8vfkCr1PjN18AaWkqp2o4nw31KibQk9skR/OfAoX/UW/3z4apuEs2Y3JGu0L79/e7NFkt
zWSdb+Gontp968acmuQ+nqxPfg3178+4aE4ZGr4vha0WZxiV6d8vNCcx5t+lUs+UMd/Y1Py7bB34
0gojs/foFu7jzvSG49eb2IseptUXut9feaPbrbb7+K6qogX8wWv9+kHf3FZniJ3KCVlGujW8Sw/z
/W2/ya/B5q0EsGetbLjPa8Vj/uxGKwf50ko/F98+/hTG7z7Fmx/XeNdBzojTsNWG+/407dSV5XZr
58pyLy0yNX/zaHhHkno2zjlaT9vi1tjeBT70ui3rnrtsSriaPq0z3/GlY78tNu2FRBYiNvyH0u3P
sjdvjJ2zKw/jtrnP17cff/R36KV/vljvKmhJbeOsIqXpbLjMX9ftj2pd3Sl+7SV+4Ed+vCrW+b7c
XH07rvodFN3JS/aIlPbJGXu3F6zgHn0PvIePP9Wru+H9z/rmhr7n5sSIdxrL5FNFO8eNvGWbb4K7
gqBYlEsuA1u38ZhUbuxzvVVfaKStPr6+eHz/efn/fo/erTYsNdLcVkg45KVcWeN4WEhCG3q5/GRT
EqvKR9d5t+rYsa0Nw5LNZ2pqdxi/ydN2NL/O4FTkjlbU+uNv9fs17q9v9f4wKTH70ow66c8Ykzn5
3VTh9b93gXdnPm2yM9PMOUClxkFN6AM6lv/xFT75YV7lxm9edymv7MKaedHK6tySp1ypkP7sT36V
z+7Tu8WtVYhKHqykO0/iVwHQzJDW+/e+x7sHrAeB0aNbm8/jMHmxeYYL6gFV//ginzxd1rtVyQxC
aaY5x24wmZ7uFKs06y6a1ntEIpO2op4HmFgfX/K3v4/xKkgH9gM+7u/7Alx6Lajirj/r+c8mWada
RJNv8/E1fvvzvLnGu5cmg2om1ZE+nUEv0r+/zvNPugqfXeDdkrik+aQlMLnPMos20/9Uyz65Ta/7
40cvvthQ3jzHUczQJ8h4jjkbuLUX7gmtO3FEwCnkRSsmkW5++PiuiczND9ca8a3fXBJ7L/wcNWKP
eqIxXLCqnkKu7Y5f0OrsBvcKoB5/4Bqr3FNc+1pyb7qV2NWvnusrbc+pHbLHCt7ztvCizWcf77cb
+dvS5f2TEzejrAS8dMpFbOSSCyRB3xWK56Yb3X8s3D2QusNPhFu629zPBySqn6xeQAs/vkPvfvdB
as2odmZqCX/w4ZoTv2i6ziHzb5yzedQ2vf+srgO3oGO7Rl+++Tzw5LOP8AoKe/MjSVAz9WKsujPw
THfy6Wwm3401ILtD/2PaVqv8aG2kjfQzfNa8aZNegGn++OQ5YeT60XNivXtO0kHL9bbg0WzW07p2
FTcWVd0u9e6GHYh+BNnucu5y91HG0Zavq4111buN36+iHZDdl+yTlfL1YPaPV+W/X3dDfN43t8SW
HGZDBUtKvdI35oYUuGmNvvAYHxT3G/GFa4jnu2pLU+84edb9Ch8jP1G3Sde3sS+KhH8VB/8Z3Ws8
8H+1eP+BFheoidMX4K//HNuLv/hrbI9ZWyY/xTQx+wj+DH/019hehSEO68ogaoKW9lv9r/UHJAmV
qb3wu0Ic5W/9Gttbf+DwZl6BBOT/xKxNU9BGN2AhLlDfMybod/V1bs7jRS6vGpIa6Yz6b27K1Z8P
5lvpDZ/07euDWRv9MHYng2/I3F5/tztBy0q13mJI2eoJmqwHSb44xnWrb5UANckZSPfH10O48MkV
xSd684Kok93EzN37S1JxVrdnQdue21LN3TIsW6YSpb0fOqOi02IEbmuuzQR8XR3Qzl51eYd8LSzM
lwnv+c7UImYCdUV7qy01V7Ojo1FC8LPV1Ksa+fsgpT+dSXoSATClQrqfVeqke4bMpAp6v4zsI3vV
MPUnwS0Otzp7f0vG59rgDAkoNC43wTzRGp3ixLWaXsNjiTiQtuOtNNpMeOIbG48XZ8/SteLhKNUB
v1ISk1doQ+uAP63PdLMZtQQBnkOiZrdlqVwNERovOqSF3KMRTMJD6TCl1KT7BraaOxQvw6JdTVa0
HaylXSldu4k7kHSVvY9iY3IjsxzXUtW0myCaT/TUllurAwMC+QPuxW0Jpmxr4rhOSLDY1mYkddfL
qwW7z5upvGQ4izuU4KRHLHA7GKX7yLXrr6lsH02Thp2eHysr3k3pCN42YLiQnufFfFQyB6ocTAkX
cOW6IUeVKJXvGWS91Wjop6nS94Gq+UNaHbtgXPX9vJu1+Epeaq8IkMhNSCDm6djbTel3Sy57oTEe
2kF+rHsVrXApWILLvZHR7A/ymSDnvrgq0m7T2+M5XdK9TBaLOzFIRj0Mv7Ce7MKFsyszhc9WbWLd
191Mbpkkh2s1r2DR92MHOEwFRglH/pjNJaMGWz1kOSaf8aJH9k3bN/T2I4Kgo4ijd5Xvgyy+6gvp
dhwK5iz8LKVgi8WOa+XddyvqF0YBybUajiunz3uOvYqPrA1f93zd9SUdA0gE5qhvxmZYy+TWd6jp
ckX2y7K8XQr9Kg/q2hsnAGpdlg430xzdQI3aNXDw7cp+IqzeY6rS3NEKxUEcNz8LbeBpcqCiMaFd
8Kzrso66efghj+Gh6E2/1pXEYwXbqbmI+dBiNPojTO/wKoqHk24k29rIN5NsrDKar/0UHNqWwGmD
UfnSAQ+WzqjafHWUdiwU17Md4paK8X1perCuHe1Bb1pP5Q2BtEhkBiml8zYdDXKLs2JdYQtytVna
p+1yB/OE+O6sw0tV3iYDfMcEMVof4HzubfWL0ydfEss+lXWGMiIZU29sm5nx05h7RjDY29dl5j+b
nhCPfbjpoVfzst+r1firf217yh/4XRRQSKJUQSf+t20PqRjYNM1AyvaavPRLrQaW2yaJkB1PfyXT
UvT+2vZMbC8ifdPEJwMZiUnW/8b28k81GbYaoG82YDiDqwmGyttNwlJCJcsaoyQ6FEGB2k0i7ELY
xSCquuoUKsyX0nWmEfmcF2qFczF6zh1rj6J9bTsdRgGIjn29SwzpskhgGxEeeBnpLUfCfHGqxs3D
LOtPtlPJvt0ihbelbjXM6Z3ZBJcExg9mvpDRW5lY11MIiZ6Q3qSSEX+ZMq4XEVKjkFaz8JL5WGOH
TUSEu5caLEqF3EVeTM7NkiC7UcLZV0jAWYISMbwIxelFPI5ETs6E99edZ/wqJvxGPxJxOsMg3w8i
XyeZV6MI3OkcncHQawgPaTwm39OrREBPLaJ6oDW+OgABfBTJNyfGoTmLaJ8+RxmekfbDmhPsMhEA
hK95VRaSvJGZIB4MQxqPQQzPPyAhydOb5D6uc1TTWUfvEV1YCSRSZAoxWdTXndnf4ZJBk5HW98KN
VNXKSJ9+POoT6R1aHQjnXtH7hcT8bNRl0pkb7mla96eqSgj8nMtsjdxmUzXG3ijUhzwZ8N8LMMkI
EmNhimtpNdPlNP4+YEsNi+W8qESC95auQWpsnrJO8oK+7AW6/NhHdoK0AsQ5nVRPWnBHlyJsqi1R
T1ddovmZau6SzrxOg5l51Ej2ubqEq1rP7fUold9qVUVWKLdENcCrraVNKefHPI8vlCUHTUNxxpni
UA88M0HfXtWx2bl2yq2R8QqsdCHMw3DRJv2mrrWTZUT4p51S8uohKbepwnywkjZNIoGAKNvTQiSW
azS4HXrbvEEFfcJvVa6amV6KnusMDVMyjrVyid1M72BFpLLlZiMWlLAFDzVF6yEpTqEevMw1IeSZ
ZG9CXGG+0ckPel2/JBr54kqW+HPdmUyJw+sQT4gyCXvyhHfW+d6YY4UNp+UetuYurDEmY10/dn17
iRncStdlaWXLj3nKiEzHHuqk1QNg3RpQMaHewnBboFzYJ53zXKbyTWc03+1q9poamPkSrqnH/Kod
iU6T1o2sHsosOsdluZ+S9kyO9tVQoPdinN2zH/fjzgyMn1hxeiqxUdM3cc/wD9rpsNyq5nIKayob
BVnOOhTVzqiZXFffYKndjKIeQooHvVa7aoznVtRLee/cF+zUCIcOjdpQfHUGhk/NDavlql9UXMn4
Q2ejv2axYzrd+apqoLuJaSYFFGxa2x1tUcGleG1KSjpLsbxgDm+XCmWcKaq+SNR/atPxouRWsXFC
hQJI1IkaBSNCinBbixpSFdVkKepKqefJKSps1YWoOnPKT5sy1NKLnyVlaS7qU0D5D0uBBkJJBdKV
GtYQ1azcBJaLPf0rUqDg6KTRKZ5slglZvsrLnJfBqpULiNQf2mJNK3kZf/QtAoDcnG7gQiMOLYYX
tI7rWpef5tg62Vm9RleAxomKGQNGqwNmDR8LsGN+OrKH2zNW2tKXq+bKiYldM5P1IsoYow7OCQEh
fmym27KYnb0lGfc2lnWujDTN0e8Ucv/Qq5VgdtFtrKopmVa1pJ4mXoMrq3RuKEi3U6bHXpExKrUy
1VWrhBN6qcGctDpUsBb+jrTVPSeuv0Q1aTXdzAzXzLIVaLefofMtJoyl7bSblHvCPqB4akiiW5fZ
V3mnkkYv8SsOCAUwDjc0P8fYG4dkE9UoVeMk42TRSd9j/jnbJtfDEAHrRniOEjWFuBYPB11SihU/
6Lw1EHxMBUPGvIr8sIwVv7eLrTMhn6NmDXdTSUCLBGCNeB2Mn8gErBe5XeIdyzH54riCQ+Lkpai+
VeNgA9GkgZdg9iQSoed0wvYbUjZyixjrN4YFy66u6Wch0EEqTRL8dNTlNvEkrd70BYFraXXGa5Tt
KmW8hN10I8/lCqnYjF3DOpS1s5UQdCMKnfv12Ks/UgfbOnFn1/hZktWSAa/8Tz3F0ZdzL121/7me
uusppehIvYehiL/1q5QirATPikwiCDZiznpUWb86CJiLOSniKyYrhKBK0eP8VUqJEEsR4CoLXBon
fP7oVyll/EHsJeI5m5YEg1Eqvv9i77yaGzfWaPuLMNXIwCsBZlKk0ii8oDQaCTk34q+/Czq2j+dc
X9/yu19crpkhFUh2f2Hvtf9BKaU5vw7ITMEXdlWDrGX+i81ZLDPwP/XbuHKJUszL7mbOKEFGHF6Q
Qphzp5J4ph4HaZPh7QpibyqDc9w4g2+qAwzror+ird/bbsBw08Ri4iKsIcPpGHXJebKxQJU0wkKk
P3vRp7jfe1Q1CuV8MGhnWNtoI4QVEnhZXYpR4PuyXgkAeXZroO5O5BqbYHH8u8q8yQxFwY0aAT+A
RACgGlN/lXynmHqtpvKxj3C2lrJFA2dZRHXJfTEWT9JVnoICTyxmHtqec59GJ1nGr23p5FAR7Wuj
m+8Z5MZ1zg9GZxJbW1xSDIbLl3xCYYnVauZpp9SrswFr1fA4aQgGQjlsDIPeSEsIVTOGOFulivOz
jqAlsC86tTJ7GIqZKV5ImnTq3BE29pNL9sptBYOsRnguwkSug2G4car+mVim90CWL0ENRaks3mHz
0RGlTbjuClJgWju/QpjYLfkIRhK+kobbr6vMQaNlpdlqqMr3QXXPEIOln080vtVXhqWRu5u4RklF
dX+SLXJ/I0AekvlzXDWbiQmBaIZD6Lq7xdM4zT0c+eQD3taDjg0YxMdzHs4gGGy+SV4kd4GVD4NN
oLRIagrs2rq1ULlE7viZJW7pY0akSAqE1zUJQQ5CezJC886QU0DBkT4YofbZaVa/n4ifWWmIgzcQ
N59zBU9vGWHwMK1NJ3FokrOZbJHVvTCIIVKz6m60yBQwHOwM7R9JccJQVtacboSN2hDL+raWEeYL
st1XXcWrxqmP1Nq04GHE+qrGOGvFLaOQtjrGQV4fFv0pVhPk5+Yw39kI/IbC3HS1URNMETg8E1wI
IUdWBnOL/gnDOlcRXCtn5k08tbyGuVaF66GZ73Gb81ULB6dlvwlEdz87+iEeuK9tDUB7WwehH2bc
S3h132U5PjsAnFe2Vf0QagnKvQy8ZhipYUTMRKZRvFKJdoLQOl+x6fSFKBG6CZK74JHhWHd3Mhqm
ld47H3lSn5yxJKmsTao1Kvu9FU6Tr3V9sQ5zMvlqk2kLxQ7vxnxl6fJH27mVJxqVELaZwicn3fNo
FCnySSx34T7T3Ej303R40hyU5Vjv2yj+zq8hkBdN2gw0rNjUNxbhYcWDjQSu9JGbzfoKjt8iP3Ry
+6oEUWxdpxrTol6P4Qvy5XWb8RZaGZER3FQoyam5icoaxpUww11ku+F9VIvFv22OtxjqCfKoY30N
lUhHOkqCgj86VlvvO7KUGC7FOA09gAxZ7rcTiX9DRmFqjfVWJLr2nA5CxOcM1wvnTBap/mjZ7yLs
usRLralh9zAEpTtj6DbMeg0Z3g4fhLSz9kUL+hBxgD5rWIpFbgWv2MUj4yy0JldWBKh11b/X5X8g
qcbfXpfM3JfxQ9PN//eVuTzy9yvzi/QFzwJ8OwMDLrv/XpnM43US33mVMW5wA/Ko369MG6wqAZtI
qxgJLNq4/16ZTB+Wq9yhNhdY09R/hHZGtcqV+N8dDs8EO16HZWkxAgH5pf/PlcmNh1rTcZaLKy6h
uVsNXqhM8zPunbjRnTV8DBXbZYORhJNrNZtyX5sqkcuCKXaeD4chkzp5N6jtpeh2YRmuES/iH2oY
U5cFgs8lJiGxkx9D0BB72WOI6ot8wfXwCbehGyCnmNwrbrZHs3Eahsk6JxqwCcQEjwCMSk/ET0Gi
P9C1FhdbDThcRpryLia9SoBfOOQZJguDaJPUdW9pXscVzJkPVWm6TUi81kNBEclS5JhU47QRY7FW
2vGOvv4yLnUn8IubnkIUisXWXCrTnhI1t5t78hOZNE/luV2q2FDq21S4ESmB7fu0VLrE9fRre6l+
dcpgIjzvDXfaREt97BrNqm2aeN9TOqtqZDMJHVjqLzkjM5uxr1J7JLhmKb5HlK5+1iAzMue74KtA
X0p1eynas3gmUoU63q3ig7sU9gkV/kylnywlf7wU/1Tw22FpB+qlMVCWFkFdmoWO0K2O7kFf2giU
y/hMFps8HQYwq7uy/anRd9g8Xbc0IvHSkkRq+xZ1heG1S7ti0LckSwMD00CFN0VpsjQ309LmWPQ7
Dn0PqJTyWufquV5aIrE0R/HSJrE10rZA7R+MpYVKe9d36KmqpblidADJjHbLou8SSwPmMOAK6Mja
Ul452XyZEYRBx1YurZtqxk/u0swVS1sXLA2eS6c30/FN9fQM/mpDR/1qLC1hrvd39P7MrukW+coj
iS/ZR780ksXSUtbqhIORJjOg23SXtrPXmx/q0oji29SAP7FviZTcXtc2OO31VLQ1nSf2G/YzUJKq
m7BX7EO1bG/Gr0WO/bXU0SvIq2BnmBU4w6E3ddJC7U1TjbsFXz2Z+uDrQfPiGgNR01PB+qXiSyDu
BuS1awZEH53Jr9gJg62SR/OjXpXqytDA3OmVfe/U1lGq00cW1amPg/wuC6LwaM39es7J4IyAwrkJ
GhLLmBcF/c9krlyIafZPkJnEvXH7w2x3W79U21vMYfyKm3PAEsSHr1AdSpsZEAptEqVBuZAewDvc
6VbqOPGIsSdFYQgn5NHBZ1YFV0xOnW/kUkD86krP6qCLBnN2rLVCrGdh1buww5eHLc8OisOQaODH
MVwmpNysLEvKU2QoWFQB+H4IEaQPpTAqrIsOPAc1izCf/tvMfTVzBrqU/3czdx+9tfLtL24mHvWn
m0lXCb8DN2oK9ytR+vdmTtO/YWzEv8Pf/Nax/XYzGeo31UE4zX0FSNT5IkX91swZgksLP9F/3N3/
lE9pfsnMf7mZaBp5Fm5IExwm0Kpfmzlt+eJVVmdXwbm1Mg1cGqoxfIdPFG5lrVyqiAUlU4lzmmkj
57SzoyGpcIhC8OtHBxfVwpZwH9g0ZR6xuY4/6W61akNObkffOVm3sWSwJoRoNzCBzHMcHQOuaETZ
L60pSQijddTx8bYjAxubRlB2H3YSrQeIh1LBmjqpFcee8W7BdgonN8ZSU9Idxnm3S6pm17jusQV1
U4L2m7VkreDcWalmf7LgJdtsnAcN09fUGDEMZ+0tgx8OG+sZlKS5sYOgg9uEhbDBv+S5UC+JQGoP
4DH7jRNUR6mB1dGTdRol9yRWV97IkHrdV+NtQZ77qnWqzWAt8bh8c0fdhsk5OwMfzEItVpxvF1fP
fhI0Vm0nDd9NHFLpK1Pw0GQlH/Nu9EUxKBwmyTk1CNyMQy0lp6vKvKiyQUaP5YSfw1nTqx0iUwJP
GrJHZqXKIa8LpknlbdREiI8d96BiPV3h+zm7hfZQMxhlw3HLmllZdwvTBowEwDjnU1UWxpJW3I4R
aw/DcV+SRL1D6sm5FGDDIVkq9yZLf5jz+CUtan/IOM9jh02pHscn1irHpBafZFhbO8zhhq/F3bQm
Vw5DVaDfdjJ6ihK+/3BCFjtzzHlWZbCggHJTFbqxzltwpkkKhzPzh7BZGTEm00mqrBNovmIxtugy
3YKKJnoOpvxubIzRK52KXaXebcMQ3WZdkM8s8Z75Q8LjMkLqGLGlxpaJxKUsnWX0wOveMtlXxxpj
c/WidvFJJvGpid14r+C7J0eUi9HQcD257aR5uaIT6ysr+tjypojcE7Yhm5IFlF7YxjciKV/qpI43
dYbzqYsbfzQK1rJ8oxhHUIBn/a5WxVXTWq8yh5yJfXBswm7fFtVjp/Tbsi3OUVluDGsk8DiPWy9s
e3dtWAMD4QyXqyP6Z0g1H20P1TUZt0NcTYB06mxVWItNlJ9qsq8lCgAvdft7J802UhxqdEj9OVDi
zSRcbOrFRTWLq9bjATbni9IBc+qnfqstpWPXsS0oo5m9Bfsvi/qGN2gceJZChmLNJr4seFIMIpWH
XTpn6cIuOBf9Z5SOqT/mOpbjZSGrp+2PEZrhUDpAT8cOg2qdsNRw3a1amPtIxek+BwYjTI1t/cop
XEzvyki5OuqBh5tn2LiKw7gbZFQ4RoTAB2kCqNL42Zlwgroo/Vnq/TMpJe+zPSRYnuhHQ324Th17
H8J5wEBKSyLl1HroDF2hNUctzOSRs2dJTawY0441ZNAil3uzYIe90WE5mY+9SB1nGxkN8CwDRCjO
o4IYM3ts5rXThaO6dgrFGFd1r+nODkTwhH1fN+f4Rinyqbt3Ra7K+8FtFP3YjR1ydLPIomcCG7X+
kspqV4YUf1WCeKA0UmMTx2a4qglpU5vwrg303pPpeDCMots0SgOaVbGOpj3GPttKAy+09V6TcYgW
wapXeWI8pwoBkFEP0kwVs3XQS97MaeHA2jeWuFqzfK0C4y1KGs2XDiAHfNmfEFIZpEclGoZiAMnF
GA0EAaSLKR3PU9X6Y+wiSq2Us1E0t0rQHXOnfGWd8TkjDxhG8JUtW0g2HWbmtfp4gMNkigFKk129
xSnZs3EA/0Ejw42dLdWcxP2vJTdB656UZHrJIu1zVgXPEpqfaZ/Dx4x9ZT5o05j4hgkbLWzu0mXj
KiIBm8sfs2MW2WeRZtj5x/INT8U+0nUwXgqS3TqeixVvxhvLToFGmC6diKLcsofW/ME2ZzQg3Rn7
DYKZMfD4LVQ7u2CF1IJO2+pGz9lONjkuNHs9s14BBKc8yNSfzfBJa1qkQjjgQR7TUzmpO/DFgYm6
qbvTZ2yq85g5vj7EcNAYnFzysRrWZCueKkfiL3bAu4aqfYmH4szgnljdKri44OjavKU2k2+WO0xr
QhvvJzofKki6s8DlAjGT7jHoCKDshuKJpfIhUVK+x25+xvINo6SzDN4Dc7kiIkjxmlJ+tK77yAG9
ERUBCHkkV1qo79DnPsKp2iqxPXrwFfb0c9feqe5cs/wRc9GtaGxvDAHtzeRz17O2hS6tNiTBN/tQ
6bkS5BAyWHMTWHfp3jWnBSFYeImj1dvWjAcvNlqYGN2VSmRTaPJ7n8OhTWtK6w5+wdQZ4zoVBE4L
1alZ8AUIM0P+1qZV8a0Ua76iqFuLFdZe8gv1WjgrgukTHCN56ApawdpiBdSOjzBMBMhBLkGOrI0S
z+FWGdRjVriWNw3U1oRnZcdQ1a6WKgntbKt6JQuR72eNYE7sfOQbsjL2ElvHmBhfGSejOivBVBRs
zznkOODMYTfnGh8J07lqDW4/RwUYa5XjO3kRT7gCLm1hv+PxfR8tsala8kfT8JmMQ8uXerwP8upZ
lM5ON5r7Ac0PblHIeUx6RRYdtWZ4C/Ns29nah5vOh7CLb4mGBzcrxX1hLIe4YkJobqJ/h0K/DYWQ
+P1N2R1/NH8JT+JRf5Td4huAUypv2Ge/8d3/KLvVb7zKoN9xbREosyhVfh8Iud8I+XJshCogFPRf
KKzuN9SXKCcXEAGgLPQj/2SHslBgfx0IGTZsJ57LBMWkkZvza9k961EeaWUsLrqD3z3IZ1Co6msZ
/iR7bzbRMTRWcYqdfsn/c7XTUPHnjWZfLLW4dISOA0y5yzrYeu3skeA6bts0ei4ac0ui4J1eOOfK
RSPQ2i+sg0C1jETf2elRmnZLRYNWSwu7x2osHghRqVedKxiWMy33RVy9BAkzA1M7mqRt5mr9Nkc0
+sn8rBkKINZRUoqy4RwT20vneNeiJ10lxfyshvZuIG4cwpFcxIYvSV48zk55cpP6GTBVvkpN7VPh
1Kub7jtMEaiCnblpXGUz2/M1dqkx+cm2lZt0HqUVawBprfSAG88Ohr2MWagrHFIhabp2jS6g7R3q
Wud7PdCYVHKy93OXqsxsjWMiMoh5g7KzhpgxDcbJXacA+zRwp6k9OxDrbqi6u0nmzWNmTm9ZxVTG
qp1DGIknkZtHZ4nXqsR4Zk/AHiOE0mQmxU72SkKAenc0jHZvuVix6sA8TOpPOKOvYdA9Tgh5oByQ
AUofAFMJ33+GoCOzjQ/dZgQD5+3xK2xtEEYPXD/YyDYMV9PQWwzZpl3STlv84+uqj09dy+8sDDMD
SF6YWA3KTtk3N3KUarQO7KTcSpMVEbzNGN+7UQm5Lx2EQdJ2UQhpEkxkXYqGuu0rwrn9inPO+npA
yGJqkjNaEPg8suQ3vFwroUNkBotqNt1cm+4572qGMmRHF0uINPIizdcNooJZefF/A9zMuX0HesSq
Pa0/l9knpTuSkSWg2l6iqkMTIslcTUdbt2+USHM8qVU8h6DWVKLnbDReiiX6uh/7ewY0REsvsdhG
bf5MyMmmZPiYJYK+ngTt0CIVm33pGVcxKiC4xc0St50swduG2V9HbYnidtOdETUvTmrKja4Y2dok
t3uSbOYrA54tMaw/0WuiOczYJ0w5fUOxRH+LJQQ8C5Wb8CXr/YJ08AJuu0FguElwuIYuhzHp0SqK
bVJWt71Ob0pN/FgZmNstwscBv65sA7lsKKynoOIiMPkTBz99ONe3MQHmk6G0p6F9KUyTlIFJKY/k
982xz1Ox2LBTX0FUy9yGklyJIOg0I1uigVcctO1dN5XhPo2i42wVN6DOD2NRfRJh2ngZ9HWxIS6i
ef93nPOfcQ5z97+7V9o0nsruLwY6PO6Pm0X9xkZ1gewRF6mxVP/TqkH/ZqtoDH+7Pf60nTcwBQho
FoI5ACsK9uZ/rBoY6LiLKBImNzt1pJP2P7lZ1C8H4K8DHfYfXGHA6QyLb+V/BjrAloDCNFZ5HRtB
4dYbbNMqA8+KMbBAo8Ltp2lcdWLg7kHOcBRZzrDCiu10n3HsPcd50J5ZpyD/0PX6PqEg3Zlj194M
aVD9rOQCR8s4nqLMnpiKqyBgK/TPLCcYLlzbJpeXOoGgoggLeh0QIgfSjMoeuQiKm5TN9E9Hie5Q
hpmXUAWorIXRsJ0dK3+UzmTyEWQnMLDwPcs2sgklKcgktDsl3ajmVH4H1IK4Wm+1D4hZ2bMpsmIX
mqR6FFXQvvVE/q4j4cRru3GHrZ0Qdwtcu7odGNxmXSyRgIWV3w+q0V8ipTD69xLQvnFUi2Ce4DuV
aQfsS3bKhxG6SXQTkRVfc8i3RXOxI8YQdqiO0X2UuHQPQwf+aaa4XXbeJMID2Q4NFhNkmMMjJhuq
h6TlI3TI4qOlFIxh4i6bfiS9VudrbXA3EM/GF2vI9DcCPc0SrIhVbND4cKV01nQvh3J+W+SsyEa1
WMDK4F6JQ9XdBlUf/uCdFHuimOe3oI3mDysenxul3hRhfFBsdgO5Sq88mE21U6oBgJWjdtM2hWBF
KS2nU1qOpExAKGKPk5cgr+MhjEG9SB0taJ8zsEnrJ8OOWd246qNO4b+rFFCnkRj6lek0IHaS1rp3
4PLspSLdx0rU1s3o1sLnNnEF2iqzfAhaQVBAn7k/FHbiBz1DI1KN+YVQXMVvZE/sgsKeaD1kdS39
MYiJUlHKdj9VQXHHVJXMEbrf15B62p9dO3kcGRec7MRIzpggkxfIe6U3zAuPOJ3Ll7kblSNvXuIh
bDKQMWYEz86cD49F0rCBKUeMFvFYXaM+a7yC2NfMLwwDTkvbGsTMkNUpGUSarR8iaSFilbQU8n0p
60FFGZl+sMdBv2V756DJKC31oyqreVMv8naXnmFFFIT572j9txofy+/fnMVl9lb8hdPK4FF/OolZ
2sKusaFrITr4delLHeEAOoVMuoif/lvjO9+Wf7oE7LKHJTeK8v93nZTzTbAqXvoGGCP2PwSkooT6
3xrftu0lHZicKY5hW/yPx9lw8qShV54ujgybKwLs/C5WK/u5zAztMA1p+jKp0t44shdn1moBasM+
YhHXz99td5D3kSgzCPoqp4dbBmtbkQ15OXUEilzcZFnknntdDU6m6Ta3+ih5fI8hzSd/06FwYyum
MBgetblG1AGODhBWSsqKoI4phsAXE4KrpmrH1zyKwgMunxkupEx8VkwTk22nYmg+fXe12ouWEyrI
7UPHJ5JDUhmORVq666YcYNZINyABTVywfcFriNPUc606XWEtIhFm4RS5ukQhk8zL3CRJPqpJHQzi
LAFEz3PIELF6icYwQNDee/EiCi6ZFoxJke612R0AedvaNVRDdE/TIe70ZmNUxa1ZQnOLhVS20grn
wxx2+iGKhL3OEKOrSt3usTi5vogiY5tmhbHuNS0ACkbPwFwOdVNe4Z8q+9u5SdAcZ222AsA4rxTT
RC5NDI4WujeJztHbT/x2lI47Kx4q3c9jlRxSCK/+ZA/Vvo7aQ6clr7Rd4yrPyAFCcpCsQZsdorCe
pRf0vGCMMxo/U1KxCSx1l6BImpQm9Eaz3+YyRUs2d9VbX4bJeZTGB8lXhN6IEJy3yfpwYLGCqeve
0lFj2qEOPmfcan32XaP+dU+GK+kWtezS1+q11JzvImxtxuLoSJFYjZzCK7uGA0eWECVmSjPYG+G5
bRn02kV+bHX1wzTLDmracN+jL0CFgG4pFQUy41xc7NDdIfbbIrA5JaN7rgaxjVQcVnMWqp4VoN8J
EPiG8SWf0SpZMt+4BsS72ZzOJmPWKlUe6be5/0fjSLvA33TBa641P/QB0LkbOe+jDavXnB5rxMkk
91Q4WasWIlQBMfWmTtlze5pude+Gg46eugz+f1COJ3fgzkfaEKcnFTFUB/eLcVrlBrpvq814Ci0t
3v9bGP+nMMZ483eHMWv7v9pz8qg/DmNkNsYy0WDgYn/NR/4QrbLnBF2ONGfJ7v3aWP4xcHGQ2ZBB
5xq2uhhz/kyr5jBm0sJzMRtAZEod+w8GLoznfzmMEfMIKNqsWh3SknUHaPWvAxcMEfBqRSIuION5
A5nLe0lf3lVN0q17gypI5EG6I/WWGajqfg9kH60C1mu+ado/ZJ7d26DY8XhofielwJ4S/wAzu2/7
+pQqCQxakyAbFJR+YPUS8IP6OthjuG21oT3mdb2ve4qSOb7oUtnnnN2ENa3UpkW6GcA56ydGvnbr
7IoYuTVlo61LXw5WicRvvhJuFixg0TtNlwTg2QotaUEun6LyUVEelAgrSNCjo6zjGG2hdcyS5yye
XocQQWxiJndtAwerqVuPnJNjLmqkQnOxncpSO4vKuEQ4MlZCNY4zLtm+6I5OG/ys3OEYE5ypscu7
NUbyt8IiIHOFESx6nxe0BWvaafUN7c60GlLHn9vme6yJnyHrW2Yseu0hu38cbYXVTs8Pkrm7NHXO
UxZGa5WfIRDpOZ6rtzaBsdoHabwemMh4kVaTNmMG6HdYbjZO/sjdeMG5/ErEBEMgWzuNTr2VRkq+
HJT/Ve+oG6cNiTcwL6mGBQqh5q4bVMhBM2hpy910g3ke+mgrpENYnZPcEmxgMBQfT04705k7YMeC
6jmOTN2jOmdw4qbf65b+BlHzszkPx4ETZiXb/LN0mrOm6uEpSpELRUxMCmlBM+6g7Elt1wYMAto6
fNCyZi8qBPqMu93DYCFtJJL+ZxHa92Ewbbt0GNf4Lw5TqX15dT9Go1pafMzJ8ok/2xUluiijd3CA
aPCso0ReWRRnJ3fMH6xTqaLldW1G2BQ3KBGDiB1C+8m8bpfYzdbi1vFk14Qb/uFZ7ep1VULcFWnf
gwts79W+2SZm+mJMKu4TDuXKMdmiI9eVJfTBosiJlo6mTd2mG0NCgOFyXk8RlGHyChwGfw0Dxgx5
Zr7QziZ9q4XlMTWNTeZiaU0pSIx0OCQRpLaogaTg8rs3gqNE10aCT2xP711YNk8RQB4/Cl3ii6yy
sO+0Cnp9uHJQUd4KJph30CCZp6hjvJG62BC5Y606LfhMw/EjMF0BUBXRgajtg12M31ur+SFT+rWq
LG+5t7ZKlN6qaM8IoDE9JBV+NdpwA+3ejzPRbBxgeGBADX44sotstDn6mOxKORrrKKBtdjN79pK+
ZRIY5z5y3I1uTW+jRXDPOL46AVWWOz3yQoOkSxSUysqpqKNtlCr7AkeXlapemGRgqoNdAkM+dQqi
SfBxT8Z80Cv5pNYNWTLwLjWohX1OT6HH9DZxjWkl1UhGsbcDi9m8ynlBvssm2U5jt8G+7PV5tyeg
O2QhaAMWbv0odp/zBORi20Rk2bjkgdYxuVu5RTxeiuuEipFF+XuLlVhIAMqjTVomBRKBg2dwkfuh
oe3LNcEydRh4bSGpI7Xu2ua9a/oLYi6/TYwHEYfsAqfmNKc2umDmwEbKp1Agm6hH1d2oqbg3u+AD
DjTvzp7GELm81wJrZjo8ekqNP1zPr4HABRaRZ5PE6BKduPciozsPdnEcFcAseZp5RujAYO1W0nJ2
KOUQnoita3dX9r9PQqv2AdYYi3jwdZpknH9joQBqLe904L5ePDcXQzBVDZPd4gio4v4msOYH9quw
tOVtoHWHpu4J0WEQPjIsnWdtY1nNWlfUPTvY3kdWP3MK6xvXlEda7I3DqMBzUU/VlfgB7QyCuNa9
6kRveswq9D1k/6u65D+G4a06OyfXmXoQ2mzmrXk4CCv1WB1GHqxyZupKvGSEmt2WPMurnimbNJuu
mut86trMBr4i8ZIutHEUdsh14Q2KvEyyukrbecRsEXm5SajnmJvueky07DnVgwmcf/+ZtB1JY+J7
1hWMeMtT5GILJ9TlDtMaQo3m0wzBTndqdRONkE2S+TFVNei+ffqdE3jdFuZtowRo44X7oljN01iP
R9LlEfN0uY1EjgGuyraL7MVoZHiDX9yQi4vSmPZBjTQOCUg9GTurbdPvfaYMqOgQwmyUWQ6eMzrr
TMR7ZDA4LYccoXYZ/TR6vfOnvhwBgatv7jxf1IZoAMoFdPDQQtnNJyR+1p+2pCZ1JYig2Oa4hKHg
I+p8KhPtWubaHeKjYdWXBnze9p3djy+hf9vKdGmtkS0h51cDOx2zefE4Tsr3aiwfspi58FDofpVh
XnQgYvSpNSPpd/DVU+dnXdLdNqhG1ibCqJ1RCMpnvK2jl6t6H/1/4ETa0gv+MrWzLQw6QrNMdRnd
2f8jEG5rkCKTq7sX9T5fPZub/lp7mPA89+3hrj0TbrQuPbmLT7gP/GhXbqIDevjkHG3/LXD/U+Ay
pv2bAle+MerP3rr2L2a/PPKPIld8o4y1AfNpFpSTxUT+p62isajLDcR5pvo1dv19q7hUsrC5XVcg
AMOYwkT294kDbBeqZqb1pPwQd2L9I5m5vmBnfn0XYXLHaY/OXV3YM4Jv/c/OLOKk9LQZs/LSUbPN
50SrzOQGK1eirSUl7JW7pZcemX03ZlVfcT2/G0xf142WP/Qqzu9czU+11rzAtjhkbXEX57EvFY0w
vSQ4O6Z55pOTeoU9bEO9xxXTpifGgU9zUnwQyzyuyl5rB8wT5a0Zzhs1h40SwcDuQEv7mgHaIZPJ
mekqYRAOQH+9L9QfGsFuYz+E2YZAE0fd0xU08YFUOhluU1VBbCt618KFW+kJ4EMFueLKgqNvx3a+
rW33YGWkAzzogURLHeRD0hGPwkz31CRx+5IMAUq5Xs+1Td/1yUxRlBzttrASD+Bpi6SjMRXf/YpA
5jLtyT/6ikbOmfGHeKbHH52VU81mxZO9ZCljqNk6X+nKxCxXQRn49kDycuKQwcz848x8pfa0VuIf
Jai5ngOomwgZy6B/1IhyVpp5L23lrkcxUvTDHpWy3xP9PA4mYfUWPjZCoZtMQ5IXv1UsisiGVvCU
dWdIx0yfCZR2liqscdW7vlP2FpHTwFBunCVWT29WuTLs1FhSb+Y7fHqn0IWcT3R1VzY/BFHWLum8
GtHWiMgoPexdoIYXK2L+WWfVfUYYtl3EflaJ7WC2d41EADOyLiQ8O+e+J570zXVaEhVI13ZyXVsn
7mehlmuD+G2dGG40YVBliHLGox4Q0+2m8qUhttvuHL8ixhu8/M1c5hcHKz8q/JsCKlBL7Pc8lOee
GHAjL254LRFRIRIjJjwJypuW2PBZx3Al5YFOZguv5VUzkw3b4XOFTSksSetYXvrQRoTaqF6cq1uH
gHLo23LZbBMwHmFkT24aS7ut0XrLWXk0iTjHhsYrDMqdJNB9C5caGuXKJRQdGTy9QfZEG/NYiuiO
dMdNUJknsl03GqHqIulR0E3qaSBuveeb8FwC2FOC2AMC2dHaek1EmjdB7cyajwPB7WWLE4NsyI/G
1sAuj3fNkvEehL15C5xlG1tDdGMFxnkytfzSZFDFqYGIiY+1Uiczno3Nyhzri8BiP6i8pTrX2Gco
8L168eFXGPInjPmsc9GM61SQ4e24OPdH9qk96Z++jqlfJhNvP1z+VRVs6eamjaIHr4gBz8NCBHDy
7iFFoKsrOl3PQg0AX0+65hdJYGEKKBE6sqpXCtKj1XNgGHfGQiCA7oN0cuQVZ3p+TcAUtEYOZRZu
QUUljD/ZTjYUh2cJ3AAEgGdSGgv6pTXvDl4tjQmh24FEgD3kFUAScCOCAJxauDrxBZj8SQenoKK6
za36plo4C0Odv1cG5AVtVgDNwGLAnccvCzyDmTn7cuE1EOYKXGlhOAQLzUFBU1AKjA2YA6EEgHwg
uQWFKOULy4pnuVAhpoUPoeTzTafq5xFwhLUQJBQHw39FkMcYR7jvk/7OAjdBSO1B4QZ2lC7bZKQw
o18dzhhm2VcvtAoiRCvPXQgW2sKyQM5Zb5L/w9557catpWn7VjbmnAZzOJgBprKyrGDJPiFKwcw5
8+rnWSppW6Hs6f2XgKkf6OqD7rYkkrW4whfe0AzHmdC5MLXgLIqK69ZscID3+yvPNJjvGFOliGS0
GAW6QjUDqg5eRwhpEEin8NnR1tCFysYo9DZ8g5jy32f/09lvUAv6/dmP0AgkyuHjwS/+7O+DXxVN
XyogqCEBGRKWxn8f/NoXClvPhz5h2y8IPxGCY1HYUil+YQT969R3vvDvsswp7UAMoyD1T0pb1pNm
25vYUYcmTolMdfgvHkVgjV7xsYGn9mZRVMl5qmAedlKpDfihoQkAsiCm1KkOSEtaAxP8xe/p7P0Y
s9Ffkmld6hAwJ5p1N7SdP88bb1UiAVPkQTrBjzmGEGudyrVSiNUTU2jCJQk+JE5Q3oADa05q6efe
qSS50RRv+xqj0eysGuoHSVSZDad70DnB5j7l28Yhhcvs4KjXhSWGE55IxB+lnBmzDBYlVuq4ntYQ
XIC7l9jQU+Ypm/KupWEL/XZYyqp9J/XKwu9qZUJVbWVZ9SmUaRCxGN9MjKL73tnSdVwP8TSMlEvN
qG89Ko9Lx0bbRKHOd+bR+Z+DX+dMMKJyjjL9GgxGBtSRkohNwQJ+51kmwHqAJ7G0Ar7ng+PrVfkw
kY1HvU6WGji/Sg+OdAH8KyVp2oMEhErLbzurRC5vG4ruWQ9uOhXYQTCETkiVGykMYIWgOO9LtTor
x+DGAHYY0R6aUTAFiWiY5xIPC8yxWyV+IIFElwC8S423QL/msgq0U+x+T8cnjKMcqOxU4B6Nwk4O
QkwYJoZARQIoOpeMDopQRV3AkCDDgWk+Cn14HKHAVRZefOIXjTy3gVyaFY33jpKWAxjTzgAZy05y
luPPAlS4sA/KPFWXIESJdUBzliLrzIfYXkaWX85Cgfo0W7efGwIJisQNqM9BXWHY/M0FLBoDGjXl
BonBtJui71YsS+DyPWaCkKXp6tB/mfQCfap3I9aZAFITycClTZXcJQvNnXZZeyQDX/UFjrWvy7tQ
Ki/M1jinnnnghVQSTDXE0DW7Tmp95SiY1EWjeV3DFJcT7xv8tkc6hhJlKkJXQyBqW4GttQHZpmEB
9FvND10rv5EEDjeuumvJAZnLn8L5E2hdTcB2JdxINNVEcEnJfiYVgmVBlp+QpJ1FOpT8euhpZ4EH
bghe572ACFs4/bBWShs6X6BOMVVedTUWZZFW9uvazcMZNDzUTgT0WIvCmwYrmTi41mrMdmwBUmat
4SUIbNmurXqZVnSTjI7+fa+o7lTL5KMB/ws9xRw4CQNtNoKFhhiIgVZaEGSBkw5SNaW1BHQ6eAJR
g6Z2QVVHPU155tqlrh1Kw89IBrIngcTOrGquCWi271tzW8/wYbN+ygK/nVv6z3KUvzsAu/EePc2H
AS0dEN/ou/lzcwC3NCTFhd9U61gfkUcYDuxsxK3WIdVWBIK8R6vGRoeltIefalX+8KTmqMvqr2it
n9QtVH38+GYjsHTNQbVIEUh1Q2DWwwYFvkbg2Mu6/plLSQJ6sRNMWWsdFOUP+gUyAG9YRKpAxPed
bR7WjQCuG5KNIJd+y65bEJ6VOH0Aqq8hWk0UWkEzNuSjSiDvvQo1AX9sD2uByleB55t+v6YWRRlU
IPfroornuUDzVzrS6gmaeBTIhbntZW0UlF4EmKSHD1jg+TPHYbxk0WUsCds8iUvq91nvnmaxJrwj
XCRZJe/SdbEuy51Lx9VXWj/YUxNehGhYXbg5bEdPKRZebce3ZVcFyF2g/EguCRtHLGwjvLEg5JP0
dNGCbVXHVdq/61PwJkgWLNouPWRDvxj0DBaKnFBLUZuvIH5UOp3GrIVktvQp3E3bStNhT4LJsNND
zMr1aVTEx5Xffg0Mnb4lHAIXpyIkLUtCdS/mb9v20jBDezWmzR1aWKDj89KdqKnqT82wgIY/Sj8d
HfhQ7ZfBEgzM13TI7kyNtV3Elo26kS1NEWDEM8YdU5xyHSp5WXEL+1/g9YHkJ0MPsk+FkejjZzTL
2LONPJXxPJTrBaIBd41DmSdnIpHILQYa6ROFVz7huCunnYYlU90j0AjCijFtA/MAftbK8XT4sz46
Z1pmkH7q7bU/RF87zsRpHdLcDQxw6IZleNj2DUw3GwxeEwpsukA25dLYzSIQJoOEipPbWd3Ukzt4
U5F5bdRwxdLhwciM89DLH3tUhSYond7CuiQyBYCDDFB6jJtvcQpD4YTzHwcZK13JinJQx3kJMVVt
MFEGaYVwYXxQjcW1prLw41S7kQb9rA7qh66IF44bXnPYy0eBCQ2J8/+gwgiYDP7KGaOVJlXdxMLW
XWQwDSXlbuXCh7XSAetLgfmiPdPOVMu6D/pMmiVl5uGRBFhlyOwLBV2LuSFcflIMPud5ju9jGzfu
gVwOa1NiMtSYqC1o1lz1KZQr25UOA89bl4jFehThkVvMl1lBvS218vMsQpYRwI83lxTjPg8BQDV1
8F2XA2QVCvNcbsxvmW4CWor71ehpP0O5s9hjKcipKi5bdo/FlGkRjtdmFU3kbGD6hUoNbnfAh2RU
vptVe4pqXTBHdjSZlBK7tj+A+MSGvIPAFK7lVD2JIBJO68ANEU1DukMAfPS6XA6jjuWbZoTTRo5W
oVcjN29jqSoLXGihuuk0E9Ag+JYPvoe1U2F75QLJOHmaJW07y+QBKThoKINk3lCiV0DkusY0KaQr
v+yuIR/C3A2cadbFAHYVNJsau4bdlcFB1/3L2rQK3OHrg8ZrqmkiO9fwf869uHOmyISR0+RSQxLH
etJoGvaeFM/QbjuQiJxYkKFMdbm6y70EhCvnOaPFEYIAp4mZjaCLdUCKpdz8aco0AWEgz6xE0MCd
6KclCNwoDNy3Q3nkcJJPBsu4r1prWdhNCcpVOXRTLUVqsNWnvRndeElSTbHuVKc2WUkoJfQR72Tb
OyYw0GHKSNlEacLD3CDFxokwPFWDjLJvyc/s6LsnoYBG7eVKKaFc5I10YSW0LtQkO9Cd7qYn5pqY
/ggvPs/SeVFjWYmAGlprUcHX0RErsLtSn9N7OrKhTtv2IBp9RTxl3f0EW0Prim7qHP7kQm6b27xl
6fql8jX2UpEsaieaGdTz1AjLCbpyl9CUcOqw8DXHU4t9ukxPer1MF6WpHyp2fU87hlZoUN8Uvc8e
1MjXY4y93RBfAXJPZl3FlmrJd1hTMPkpEsPksLpZFjfHeVUuUhnnH6opJK6Y5TJrw0eH2NhvTZjm
ffo4JuXh6GAn6lHtUdX0NghRbQC7lrfAzCuiPCti6/MLZqbvdBbakgEP2VhLuS9/mj4hnZX137WE
mK8NyZHp5lL+OcC3auZH6RpI/F1YN2e6XhwmAV5pCLgsXNQeJpjsrbDUveh9Zd4boDDcIrvsK2eV
6w4UHwlUSXiOk9kUZQUYQBpIZjeeB2V7jJDvQRPk09iQW/WwCpVhWniWGn2N09G8HbLAxGpEolXw
NTZqLO0HIVhm5NK/XcE3aDcDvMEfctCGuZOkj1uSUP7uJQlF/EswycG0qQpNDCEf/ncSiiE4QmGm
RQHalN/ogtlfdPJPDk/VFFpiwmHzV/UZnyRB+kZX/AmD/E/yUPOdyMkTxEJG5oSaI1BmfJEEBONV
Hqq0Bn1bxErORsM/BLdH9zqjboJk0JiG2aI1CMRDNz7R85hARtNXcqMsg7w+86lkpshNOp0Kr1pi
u1YOuypfR43+HWehaZTWJ/2oUM3UV6MvmBBSNkx9y/uOuPZXCGDR3EySNSASbD78AQ/KGAGeEbmf
o2RAIzCO0MKykxrCneYfNU1mH6e0IW1f9NAFVHUEjVA60Z0JT0tzlXOfaD4vqRRBRrnFx0+wY80z
m+APxSR4KpjlBWewmh/MLCOQgMY6HX2LqLuNlAOYdMd1jaekm1wRXT/S7j2pdEe0Da86ml1oi3jL
zGyOTAM5pKw1zzC5O4zrGEE037jWcAkes/pH55uLqkUvqgTONukc+xyOAUUxtGa76DTswgUlVZdF
iCRJaMUIO5TSjSOUXLMxn8lGeOyXYz8RBAyYEUicGTHEUgzKF77pJAspdH70SIUZbXOsQyU/zYuv
sD0WCcfsYCln2L4uGq2/GODL9CES5BodOk1BiDaWblvdvQHpvjAb0hun7UD6xcldMMApoj6Pa0MD
KboPT4eWoSui5qvcu8SlkZl8K/QDRE3smhIDADetsNpTT7YXLvgL4G5mNx2a9tKHesT/DhbEPvGs
LtJvDY/hghecRgGHtN5lSyOQGRsbP1EIoEXLewhDiYhDtuNZNtgwFAftIrDh6Xbug14g/hWY5pWe
mRcS3LCpVJvHToKOW2NgeurnJP5B6V9I4E4M5EGRfSf27ovwynbTezhas9RNEEOMHsK0/OY5tJVN
1SAw5EutclfpYK8gBgYuzZvSBVpoet1PAgvUThbg0hM0oJeTlTFG4CCwOlG1eI7tNAxRCPE0VvKZ
bgKwka38NsuSuQNq4dg3GO0iJiGARw9rpVcQ0a4Q95EoMU/GniPSVJz8BGmc62KMyCQaIm6ZIzAL
AAah8mkjxJ42k7jMjmR0x4+hyQMfqG4D0zpGvv8ibfFztgInmUrKOC6TlAg/dUuK7wNnHpI0P/K0
uLRbXrzRebOBkr3cuA9uKykzrTUunNy+aDp31WmwORXXPbAQtpsYTPoJwhaLfqQ9XiqUflQvquj6
IjYXFrhQS+OwRgK5mpJNEoIzopNaKg/rFgvOyKQ2Q4dDEeVfNBCXAbq98yG6oE2kAMuApDqupWhY
16155fXtVRQjrNnb55GKBir8YTIFlfhOC6RvYN0JZXFb98d64Q+tiZ15geCdkIUDkkRWIg1r3utw
qFfGPMtBHkYU2GaqpD+qfXUSy9JJL9fpPLCHdA5gdk1JfDXktTHNTARZZQsKEDhxazKUBOFq0V0m
Fqa5RVUrSxcEqcAt8jxtnM66hhnIv/9UYyhMgxG7VNmJkO1YuqAq81glTAndTAIiD+s6L4vTKka9
VVX0xzwHhil1iyokV5LUWJ+j8wdiQQkXvjyWx64CzjPVeduM+FGR8qWRbkDruE6/60mcLciW0Y4I
bIc6HQFbPHgrFymCVaYM68LElMBhayS+XhRaI1GR1k/G2j+r0IIgSQKBOgTaZRcmHeJNqBBV8hJc
81WOz72WKZeKV6jTbERSSs6stQfwNTd9+nd6MOsCuF6G3FxL5qhM4RUW8zik1lQaTOqocr+35vi9
rKkjVLq38mJphQJSM0/Y4CZ63VzmtpLMyoj3i63tzKb+Nu3Qu5l4CSWhEl4Vu3zmO2dsdEuoxwjm
6tXV4HbfIrW+KQubLn7U3OjOKK8UtVOoAKjQqPC2mgW2b0wHH2mBzIPTECvaQVmFl6mpLceclpAb
Kd+7iDqGE4cLI3bCqe0AydFy/HBK9Vtrfu2qw9G97agG+tpXqkoTynjfCJuvAy3h1aT10kyzUzWn
+pnHSrWSQ/NRYaOfK71zTqLK0qb8upIMIkHLHIN5jHv3JMBYNXO64yqP6ROpK6uP2X6DYT4OyiVk
hCM/w5UHlfwbq6bmIRf1YVGfisZhbeD94AFDwSGCFl7mBEu1KFHyL4MbZRiXiJ+Hx5SOlMUolSfO
YEkLpKejhVb34WSkRDqpcvJqw03mXe4dGlROp5VpC+5n5lFQGRpNXSFS8mgHiX/SpTWsIuJ3w7oJ
M8RFSoAZKO8W43CqUG2Y+hXv2cLmYeXZNdp5SD+wfx269QjEAdGyM3mUxpVLo/SgpSsIhsq2140+
DMux71X2Y7uYc3iEcGTw9zSUE1rZB+xGhya6opGtUy3Fpngmlbr2LbBydogWZ1q9klaE1afQM71V
6suP2iA/Ir18x5EjrKb71SCTDNsWWZbMV+cZwT9ns6iP7/sgotzm+UsEK4H3uODQUs+89fukXYLT
D+cdQO4CWxCy1hHskSSgfeaRJ/qld4hxKLp7AQl+JUkYiwUlGqI5ogRBkyhT1A2uGX5OcSV+RNT4
sFU9a5HTNy4rcxnaFVRD+CoLVE1RjCzlHHwa6Cil6G7TukcMIb409GFmxsZ14hQIJoZUg8booNPN
Bc7z8P6VhJpYv1Dq/ApHkns21/MafPQ09pkCgVlcINO2YINTlp0OUtpR0NH2aaVZI0BDE2C+EyZn
lgPdMnL9Zg4Zd5iXfc18oDE/883Rh5BczZM+JsUx9QrFZXU9VlQb4w6eFQnORLHNU4Lc27LMj/Hv
tsifpbmC/TN2v985WihUqRfAro5YuSugEDISdP51jjQ0qh40IRWO2kg5Dtz6yI2zGyNXblHk54xI
rZtK7U+yntS2CyBehRI9UcfwviWDnE4VKT4Yg8NSL08oNC3yTqWWE9hffSPnjJbM6yZvT8ben8hp
cBfrxmERUW+ttOEY+aJmNZQDiWNvniSKjaZLwkYoAVY0Aqp+hr6KMsjX8njUlJqGwQitSXM0b8Iu
Sc41YGwzqnbYw3aIcLQ+UIVWiGbiYEt5PkkH/MQsHamkclXpKmV0ObyzOmIYu2/OrRzhZqdssyV2
btVxUmAhU2gdyF3LZlNyYS240tJ5wjOoT9gGepvgHMxaOoSslyxNPztwntAQ8RMyYnxCSfy7Jbhp
CdIj+3069g115mabwoBorf2djdlfTE1Q92nIKZbyuiX4pNIMlZtWnAMM57XCgP7FIRMDiK47pHFP
OdJLNqZ94TBXSeE02VKefvQPAO8CL/amJwiaSAhA2qqlAITVBVLoVS7Wy5LXlmWKRrOQI2bJe5WB
jlOyYaf91m9XkYH8v78RMpm6TkUTIQNZFw/y6kYK+pKFGeo5kaHhXEd+IZnTxIqHcQVKia6OVqeN
flBV7niJRjoyUaai34Q2uVuehfZhiaLXkWIJuiFInP6cWs6FNmRkSebgWdVRG4WV9qPtC9NGUK9o
WyTyACi3ehsAsJXisy6MsZQK8jxT5xThGmQOJc8l2K9cCi/R4MwF1F+eVem9EevdqUX2eaY3iKlM
lRzg5SJze20atw1WFVVGTTXoMu1MbhUjOm7j8Kysow7sEebcvnOuKfKjUeUPKYcSzMYrqy1Waact
DcnMODf4FlDYgS+6CydB8Cg5cIehmGkRMCoAjrN4KH76tn9BGfNUUfOfjdZexsKNnU05/G5FkDaF
le+JZOUlNguGeRgHMG6chL7UqOJNKEnaTz2sUDZ0ffk0rQsM8Vq3mJCTGTBK7RMwvqdVCiJiVO2W
kG9Ul3VqXQ+KdItzdjHDLh5UeV17KmILmFUxLTjwIU0E9H/EJZDAVyKzvC71Wutnpp36FxVijPMG
Sg2iD3J/q0MsYBRVvOKriFKiLpVIVaGpWZg1hlKSopy+Wnvnm0n72lBMFf3rd3NZSOQptoG+udBE
fzvFiqEsPA+Tr1MOoHVHpnGJQdUELC6IyBQIEx7D3hxW8hx63MQ41BfaHMzGNPpf5roh0HO/ngOd
WE0Q+hBeNwSbhPPs7XMYPa5KXuVnp4T2h0Ps99PIK1zyGqIROgjOvGhdhK1UExll15ZPPKt0DxXe
kRkVqKpZ+JC6UOtsdfxR95mzqFTa7XWdL1x7/GEZrkF1hOI6gJUb4FgW2uXFMLUq0Cx95yLo49Oh
Mfx+jsDeslOgqbgjQaTtwrVyVqOGCo6qLnXAApOiRrIhcKA4JOmKgvwsQ7hmksn5vOu8YxVZTjIE
NFFboowkCTGFaYvTrne0ZeEJELnmXXtdtkIi54TUSibjzJdyxESznILqvhxe/vkVv91Enj2YZSQI
dYf6kea820ScUe2cPHHLU7lNwiUbAQ49JWe7FPhzI0PCQy+89Z9vud1v89U9371NqYdo3kZedVp4
2nfDJcqCkgCHxVrpSYOrFDArz6SaYqGHYcQUe2mSDcdj2YD2l4zjLLBv5YBSLTCsnyhEE84VJ2pm
fpXd8d7wih9JFxSzIi3yDVT430ZUop74+zP5O1pYW8qj/M3LgSw0oGUwiIA44OLqouL6d3kU+A6H
EzKblimzN4HA/QXOdVRMCi2Bu8Ze5C0DTaPPA4vYprumCqWHf3AgQ/N8s30YMheQTWqxSAtZKrKf
PMTrk7IuESGI1bA/Q0MBtoKNJ5NbXtVq4k9DFTH+UUmzqwAcLvrpSXJZNW65kmQFFsboKlMFPw4P
GnA9KXTtFOKzPEepHWU3K8S5BaZ/rcqkh0V75zRdfpUNIPrp7/bnDin5FJqUNXUaN7vSq/aklFE8
r1PUAQMfZTOvIDPpUu8Ckka6bAxVm3utq8wqRblOMFZcxTAxliG7AwjYA22wr7yiwRxVD9UZSNzg
LA76ZEoY9APNB7qvnf0tHdXguqBMd+KrQ7og68NWKeIQVRiCM8x/3QWFFWcFJUMwCbCZrRPqY11u
ObPY02hYpGNNqw2yNDZwpJohIlpNctwUSBg4kM+IfSZ11kydjM6e4eeHcqPPI8uT56rXHkaldNRm
9jdG8yTLqCzKNccVNdcETKD/w2h1aDw04LMuu/GK6EYIjM1z34MS7AWXtQ57BV4GjekU6x7T81bR
yEkvmcmj5tEw6lPz0MSwcFLTGCcTCcNFDRpw4budDMlg/M6LDmFB55eZ5J7qaD7Y1I00N4Y+lWsP
7lCdIy3ZHiNIiPR1Pcp4VdiniKQh/O2Op0bGK63zfgZa9TxKtDuQvWBko3vJzdnFff8wivszswO8
ZVHLwhEM/QGyzgNMP41p3KBc03nOGY3/eqomgpABX6xPIJJhTj2hqvg998avuo5OUmGhp9aPElrh
AFKZH0Br7CKyz0icQ+1O8BWGAws7iLmFFjIiQGNCRa/0ZrEBvsK3jEcJhljQ2GAspAGyC2eE64QG
Qj3xYYsp2sQyaISpiXKsWdTTY6Fn6MoKJ7ZhB8vBiCCzA71FTJrk0DBa4I8luAkvwlKLctzgU/sI
kF+cZ6GzwBoEGZ9oZJAJ7w6wqMc52oBm1bHApzIzVfPyizhNe2a2ftDbDlXHKJGvUt9FeEfHgzRL
EbE1QuI8xwR/5dJH1eUUmJz7OABhCgBiHUSGcVXW7g81TespbqZTy3JOqRDGJNwGfKyukbEeMg8k
u9TPqMNgVIwcxjRXAhPGin7ZRlk2dWvjGEwoKFDEuKeyZByWCJAcKkN2VOixclBk1Me82oGpfVsp
7pnUeQt0LPoFBiEI75YBfJekXFYDWDrwdjO7iO/82FjYWc5SZ5nkgnGuJsmPHAp6L7jokWTZM9gs
ypkvmOqu4KxTc0PPSEdEq7Hd07agjRs6JpQ9Z5zEKThmjRABMmv/dVBAFGB9Cjd+GG1odvDlqS+R
v1aZvhw8Fza94NXnRXqETJY1HwTnHuXX8bAIFWmpC0Z+VuRfTckpFyNkfZwzbwHwaOdqSBmA3Q/d
1wCEmQ/JX8IKxROsfxP6f2GF3s8KQQDHZxl/tRAJGJ/kAlDoQDrg6dj4/+D8fH5EYSw8T4FxDF+b
x3K4eKzA8VQvR4v46XkG+Okq+3/7pT9f6C9SW+58NeSP//kf6we0/GdBVZfBfc1xtPnZwcN//sez
RAf/9uZEfnqwp6f+43XiNfdoHriDZgJ11WGYiAaj+BBTxxkSNJsfS4pwS0ZVj3Ob45J7vRqj343C
n7/gZjj//Dt/fPj3gyC/LxX880FwsMZ0KPWjOvL0YVg/DALEVmhAmxDo/3gQXk8ExEMoHfzjScAX
/DUHrC9EWCaqV87m65O/vfn6lEvoalOoIHJ7+uzpTBDVn388EuJd/xoKHfF23jTCM5tv+n45MBRU
lBTZFNSt/VwOKFXuOAgUzhzNYDXgvCI+WwaBRBtPFmsz4P/Hy+HDxigee+dBsL5QGbTJErSnMUD1
7e2iYGNUAXNYgi24lxNB32zYm1Lh36fWPzocbDYGiIqi4vn0eb8xiMOBCipp294eDjzyzqtBMEA5
BJnsb7ZFVUaNVhSY5c2+ubnVvi0GhLSYujuOAbseID72xecDktT97VAoX+BQ6KI8tKerQd4s011W
A9aOCpqN1CA2O8L7bVHUNzhHFUXd15nwoYLzz0MlzgYLsVRG4eMU4AeWQn9gT6fAB4jfP//2wvhT
gOf030RKbAkakjqYybBC9vJUEKDEHTcDW6AcVZpkUOTER0RQb1IGsI62iKf391R4X8n85zMBzQCK
mA7ihb/ZDFShHIDUlrK3geLO8QEuSJZo+ahiJMTnQ4xEOA13jhhpX4MkZfdBkL/oRMoUoDerQSyw
D8tBKKghPrGve8LuAYL9xYJ2S+V5MxFE/P1+EFgoxJKG+TRM+3pGCMWOHbdH64tusyjIoDZj8WFR
kDio6H/Au9rT+SAg6DsOgkmYsEFKbFbFh0WhgIdHFB6B0T0dBKE7u+MgEDDS01IcISb0djVwOOAg
bmnCVZyb7F/O8Fze2CVcxu8cwoNBo+d5T3g3CJRSLBtbV1vZi6Iab+J9ZVHZLNBdBkH9Qh8RXAQl
o6fP+3WgGF8MxsjA3m+v90Vl56oSMvr42ys6CKp3E0HVv5A0aJhCPYcRe7om9J3HQNNpc+MvYFFq
3XzeDYWotDq2JsBaLz/fy+1B2exbu6wMDJxllf2RZPLlq77ZIxWRZjgmUh77GkA/71u7DIJD/Uwo
mlNDevowrG8GgQIbUugKmrybOHX/Dgpl93zS+KKh5U5ZZbMFCvmUN4PAohC5loL96Z7uDNruywHV
e2TmyBjlzWr4EDUqX4gY+Q8jJT77Gjsqu/dgzC+8aUrr+nMA/T6XEJskP6PMtrfzYffAQaPSJKPK
/bwmPi4Ki1WDHiV+NHu6KJ7fzi7bo44RnKpqIFs3i+J9xZUzQgWwRdVxU4ra20WxOcJ2GQr69ELF
CoDQ0/L/MB+oPELtJfMUmpf7GTPsnlBRfrVQsDfk5zLD+/nAcQmDWsRX+xozaJsta5eZwCAwBDoe
h5uZ8D6loA2hOuyejrOZKvu6KNTdw+mnUgtLAq7904ev+j5ycEzdgmPxfKru6dJ4bhjtMiuQHhCB
NHJ224cCjwdibcx2RJF2L/cHbfeqE9k2Is0GGff7iYCOr6nZQIifT5J9HYPdoyeSaQAsfNPnlOL9
9qCA9qF9h9fGno7Bc69gl8VAbCSbqECazwWF99OBwxIDEoewYb+D6ecu4g5DQYuGXqVDtPxcUPhQ
fJG/cJbQ0n5O5PYvwxR0IzasHQZBEzgW0P0v0+FDn4qMgpI8rozPRd/9GwR95zSb+ht4LTZB+JBP
ny21BnZI2bZFgW4vT4jnB9txJkC81MkdN4PwfncUqC56dTIhxZ4OwjMEdYdBEG1brLV5zy/dunen
JYNggv/DDHUz6/ZvOYgDfsc9AStY0Y/EI/Y3uSUAQANoF6LCezoTjJ0DaPYEGg8mSfZv6tFiOVCN
BtS0ibD3dSjU3XNLnM6IiZgRz9CeDzsDEDdUxhVUnDefPZ0Vwql+x6WB/DXS2DTzn2fFh1okjsiM
E96e+9q5e+6r7rBJQowgghbT/jdQLxEzODQnlGdY2f5tktrOMQODgK61QD3+phRLrUGX4S2yQ+zp
ctB3jx5p45sysD57kyxsA/jwQ9p6QmGPz75uktrmHe2yKCx6uEIPn1j5ZRN8U3DhvKAsRWzxjKPZ
w0Wxe+RgECKipc0WuIkh31edyC45UxEdeT6V9m8QnpFHu80EUXenb/m7FFv5IjZHIOH7ekbou88E
i0YUdkeG+bv2LTEDdk/C4Xpft8fd69FCv/TJHOs5r/wQOD1V5Uyd3sS+DsLu0SPlV7SGAEU/h0y8
77cbI3g3waXZX4KEUG3ZLW4UCB86txRgn2tNH+JG0Ayk1oBb9vWINHY/IkUhXgHQRTHp6fOhzAJL
BDiHTSnmX18O/8IR8jdBeeoH8cNcsIiDx2obg/l3v/BSY/v481fIuCe+6ZvfFFTlzc03+Dnx///r
LXP5CeD46qcvgMenOz3//fNX/HjzNzd7+V4v/7gKHst1ee8PTz8Ynh/0dJ3Abf7vmP96WL/H9Yl8
/+XfttOs/14Gf746PjuPLxf6xcmWyb9+fdWPHO5/7eLJ+iErXy706uIsnJ0vPsGKbduDM1N3vvZ0
Ha9bXkn1cq1Xz8583/366HBXH14pcTdnyydcPK3L9V/TrKq33YJAZudbzB7jv06zcuv4s/fsfP15
/NcsK5k8L9d6Nf5sxztff1E+Vum2i3Pg7XzxZfyYpi/XefXgn7FcV01yl8UP9cfLC2jrzo9+kOSP
ZbCOXy716+kFiHj3y2PL8nKZV5f+jBV79FhuGXPRDdr5qY+C1NuyEQiI2M7XPl5HW/YwAcn8hEtX
1eO2MfmMBXqcVX/9d+o9xo/bRuYzlujJ+oEN+GUcXs2Wz1iiJ2vc+LZc+zOWqLg2cstbHl1ARXZ+
rSeP6UN2H2zbvQT+4hOuX94/Prxc6Ne4i3727hfPePaX67y69mcs05Ns65h8xirl0vVj+ThsefLP
WKmn63zbbPmMdXr62K4/xo4bMv3Ob/OsXLMFbBmUz1ii5/H6/nFL7CiqUTs/+TkK0duCO9F12Pni
FwGhYxU8bBkZ7TNW6OX6viQlSOstZ6mAcO/8BS7X6V+TR9xKt93gM5bq5gZlui4ftm5k2mcsWnGT
WfDobfsSn7FqxfUXrID7oLrfdo/PWL7iHofZumi2nVYChPkp7/q4Caq/zu6CKt/2PT5jMYvvcbKu
H7dd/zPWM9ev139N1uXdelvMIChPnzFS3GMab7/D5yxs8S2mZTO+PO6vI1L/lIXtr7fmhAKWs/v4
UMPYOvifspiDKsI5t3l5zlcD8ylrOYvX26IH0Q/cfWAITJItB7zQgN394vUaEcp43VQvF3s1NJ+y
dEWZZcs5LKTed376q0d/vW1oBCZk94v/0XH7D/qE/1Jt66phJ9hyxIue/e6P/mejtl2f/c/GA7te
/Q8SyjtfurnbspBEuft/GfJtZdm/Cesfi7Uv6o7b/uxtLVr8xn38uC7/638AAAD//w==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Where do our customers live </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Where do our customers live </a:t>
          </a:r>
        </a:p>
      </cx:txPr>
    </cx:title>
    <cx:plotArea>
      <cx:plotAreaRegion>
        <cx:series layoutId="regionMap" uniqueId="{20359DFB-6E77-4D2F-9276-CE3EBCBFBBE8}">
          <cx:tx>
            <cx:txData>
              <cx:f>_xlchart.v5.10</cx:f>
              <cx:v>Sum of Quantity</cx:v>
            </cx:txData>
          </cx:tx>
          <cx:spPr>
            <a:solidFill>
              <a:schemeClr val="accent1">
                <a:lumMod val="75000"/>
              </a:schemeClr>
            </a:solidFill>
            <a:ln>
              <a:solidFill>
                <a:schemeClr val="bg1"/>
              </a:solidFill>
            </a:ln>
          </cx:spPr>
          <cx:dataId val="0"/>
          <cx:layoutPr>
            <cx:geography cultureLanguage="en-US" cultureRegion="IN" attribution="Powered by Bing">
              <cx:geoCache provider="{E9337A44-BEBE-4D9F-B70C-5C5E7DAFC167}">
                <cx:binary>5H1rc9s40u5fSeXzoQc3EsDWzlYtSEm+x4njJJ4vLMV2SPBOgvdf/7ZsJ2tRclY+NapTr44zl4ql
hlp8gEb3g+7GP+/6f9wlD8vqXZ8mmfnHXf/n+7Cui3/88Ye5Cx/SpTlK9V2Vm/xHfXSXp3/kP37o
u4c/7qtlp7PgD4Iw++MuXFb1Q//+X/+E0YKH/Dy/W9Y6zz42D9Xw6cE0SW1+89rWl94t71OdedrU
lb6r8Z/v3WWif+RVppfv118jf77/d7q8z6t3bt5k9fD+3UNW63r4PBQPf75fG4a8f/fH9NM2NHuX
gPJ1cw/CVBxRxh1EBHv/Lsmz4Pn3FiboiHNCJEUSrX7wz0+9XKYguLtCj+os7++rB2Pgez3+f0N+
7UvAo/j3f30Ed6tHsXr4AeDw5/ubTNcP9++u62X9YN6/0yZ/fFbV4Oar73lz/fhg/liH71//nPwC
HtXkNy8Qnj7X//bSOoj/DeCk0NnDXgB2JLUdbDP5+CMmOGMJOHNu2xxmwNO8ekZ4Z41eQXhdfheE
1yUODOGLPMv3gi8B7IQjnuCVfBNfQoSQHMl1fHfVZzu6a9I7YLv2/gNDdpE8ZNkeoJVHNkE2lsSZ
YErIEZYCc2qDvX+5ZnfWZDuo6+I7oLoucGCw/juBne5+uQdg+ZFATBDh0KdFO12zgC/hBPblCbxv
0Gg7wNMBdoB4KnJgIF8lDbiAe8BYHknqcJtQ/ArG6EgyIW3YnNfX8O4abcd4Ir8DxBOJA0PYe0je
Xebgvv/9IDN8xG0GbjJ+3n03FjI7IohRWMiTlfwmpbbjvDnEDlBvCh0Y2qqp94E0hb0YE8rQa240
wUe2zRyMySRQ2lmh7Sivi++A8LrAgaF7vczenTfavPvwXZtiH+60fUQEcTCY5seodxX2TsNix4Fo
GJOJO/1/odp2xF8baAfsXxM9sFkARMmyfaj2sm0L8KwdggnnT/iD3d7AXyAJpgCc8peu95uU2o78
5hA7YL4pdGBof26SZbWHzZs6R5Qi4LmeCa6NpQ7MCJFCCGzTdah312g7zhP5HUCeSBwYwiuzpR6q
bFnd671wJOwII0GxALwffwDPtUWNOSDNkORbbPrbFNsO+CtfcAfgX5E8sAng5klj9hFowwpe2Wpg
P1+x5uQIwcxwJJsEYbtrtB3xifwOSE8kDgzhi+U9bNh/fwQGRhy2a+DB+DPCW/w15FAmGJ6s7d01
2o7wRH4HhCcSB4awm8NxzAphU+8DZ3GEVkE2pfyJTpkeY6woUYDZ5hheWfPL3qjXdrS3frsdMN8q
d2DIz5J3Xl7B+eQelrc44kQ6wKI9n27AIl7buVenlFJiAB6CMviZBN9vUm078ptD7AD7ptCBYT6H
09y9uGrOEafYsW38TJtOAV8dVwob/uDJjr27RttxnsjvAPJE4sAQPm7S73lyX//9i5rBmhUOZmzz
XAscdQdTBEcjT+t93ZS/RaXtIG+MsAPMGzIHBvR1niz3spTFEbHBMnP+HHVtuGbgfDMpbDSlUnbX
aDvKE/kdMJ5IHBjCJ2nxUOll8vcvZUpg+yXCZhQ/BVgbkbV9ZIM1tzHkGG3Zn9+i2XasN0bYAe0N
mQPD+/NDuEz34ISD4QYcHWSTVzbn1bk1ZRiOQYBVg5+JN7a7XtuxnsjvgPRE4sBwBnIIYi21rL4v
9xJbsyNGkHC4fAVu8MUcKQBwIFAef9a36zertx317cPsAP52wQObAyfZsI+4y4EMFQLZR/w5a3DD
DV+dk0jHAXp8HfRd9dmO9Zr0DhCvvf/AkD0DRnwPO7Z9RPnjOfbThrzt1GPFtGBKIJnhJZGyqz7b
kV2T3gHZtfcfGLLnS2Me9oAt7M8M8nyFfNp9EZp6Y8CWOPAyA5u+ju3uGm1HdyK/A74TiQND+Awq
B/aRVAZHlnAyTRizn/mwCR222pHhNUhCmQC8s0Lb8V0X3wHedYEDQ/d6lWO0j2IMCRw2IZB98Oxw
bZDc+MhZxdRMTpIPdtdoO74T+R0AnkgcGMLny3gfGQcSCA+KIRP/mRHZSC4hRxLb2BF8gu+u+mxH
d016B2zX3n9oyObm3b+z4CF52Id9ZkcQHBMqftrn6QLGwIkxChVXMAm2BMjnb1PuFbS3DLIL6FvE
Dgz7i2Wl9+B2UX4kObPhBPr5lGqKOtAiNmSfQCA9CZZ2Vmg70uviO2C8LnBg6EK4/25eLbM7be7y
n+7t31EiyeG4AiEOoe52pwvgBZ4E24JOUgzWNNollNsO8/ZhdoB7u+CBwX6R3+d3uzzctxXGQmo/
kwjKM/Azt7VRg4WObEYgHRxPsgN3Vmg72uviO6C8LnBo6ILJLvK95IbxI8gKgrwh8RwtT4+nIJaS
DuOCgL+2hd1c2dJdNXsF6ekIu4A9lTkwvG/zZB90pjhyOFCZUL4xCZihbANe4BiOnX9uGU/Vz7sq
sh3aNekdYF17/4FButqFTvNl2ezL9wLPixHYgR9/NigvDKm9QJhI+ZQgOIH5jcptR3vbIDuAvk3s
wLC/eMhgd95PUjeQJavDCc6fj56n9ptQSP7lDqWrkviXRPablNqO+OYQO+C9KXRwaFd30IPD/dub
lPAjihzp/GpysBFgAfEtsISomm0Lqy8edtXrNbTX5HeCek3i0HCGlNqH6mHYA9IObNSwVVP0XH61
xZw7tsMcOi2Nh/4SO+v0CsrTEXbBeSpzYEhfLos95JFA0yEi4RQDeO5XNm3II4FjKgS++brp3lWf
7QivSe+A7tr7Dw3Zh3a5l94WUHLjEC4oei7I2LKCEZTXQuA84bgvd9boFXTX5XfBd13ifwHCv1dx
7Suv+k39++fq2UKDvbVRGJTIQX27A7lAT2t26m6tjh4xJxxDpc2WcBnKVH81N3tyxrbptB3Zl7Jr
3/HpK/7+ofyv6wT2ATjMYB+nTxRyNSEfVzivdQKDtjQ2tHtzpnl7u2u0Hb+J/BYI134F7e4mEgeG
8FWyvNvL+bE4gj5fK4yf1+g228tXubrkaYlO+Ord9dqO80R+DdTtPf0mEgeG8ycNXQqMvt/PYpYC
2ZQ+Z3FtpnFBzAQ9DCARZALym5TajvPmEDtAvSl0YGhfL+8qaBiW1fshMG0OfRyhK8nTygVKY70O
bnVcsfoDqX2rnw2a6y26bUd9y/fbAfYtUoeGe7jcS8krZPNBT06HCvpaKxJyRAU0NoB+NT/9vCfu
+npnjV5Bel1+F5TXJQ4N4cf+FNBgdh8rGzKtbcjpghr2X3vyxspGBEG93BTlN2n1CtKbY+yC9qbU
oSGuH6q9lFRAGzEHUahvfDLT2zJ04UUouoCyuG12fGe9XsF7XX4XrNclDg1nmMmefgj2sbChNA7D
0RSUx032aug2g8GsQzua5yU/sd5v0ekVmDeG2AXpDaEDBPsC2oPvA+zHZALOoZnnK/4ZMJpEwIEV
2/DMsnc7K/U62utD7Ij2utDhob1qRAK9w+C/+ziRgixOyON9zgmbrnHIK1h1DgOac9KmAA5936LW
q4hvDLIb5htih4l61Yx7AB16DXGobkU/U8I2QIeCdmi1Dg3lNl211YPfUavfYv5yjN0hfyl1aIhr
E+shb/5+vFfdfSmkdZKfbbqnRZCQ+OnA1Qo2NJiabOFv0OkVtKcj7IL1VObQkIYLFPZR1g7HkYxK
B04kXzt0fnTlHAb5ghOcd9boFZTX5XfBeF3i0BCul5k2ybLZR20Gh9I4BFcmOK8V32DoBbiqzuBg
11/mC8GdMm/Q6hWkN8fYBe1NqQND/DNUZMBNRnsw3tBkCGolIQB7zt/eYEyh1goyDKB3wcQjf4NK
27GeDrAD0FORQ0O5gQaf6V6uN4LaGwG9WyHB85Ev2TgHgZJnoFswFmSyR39+g06v4DwdYRegpzIH
hvQXMJzNXiIuuEkBeDGKXmsACfkHcFkZRg6amO83qLQd5+kAO8A8FTkwlG+b7/sIqlcZvRh6RcFd
VY8/G+WxcMcClMYKOBRZ36F31Wc7vmvSO4C79v7/F8i+fkXdr6v+vGW9nD1eEvjilrrfv/r4cOBu
w4nosyu0JVvnV27eyf2f7yGTjwJlDWzHr/sHVwOtOVIvm6H+BHBd9gGO0v58D5cPAtKrvkJUYgwl
8QK26O7h+SWotoNZApm+0H6Gg9v+/l0Gt7uEj3cZYgT18xJKcDmkn638OJM3jy9BDR8WNpCxzmrH
59AM+OfXvcqTIcizX8/m+e/vsia9ynVWmz/fEwRftXh630pfG9lc8seEYwFpyVAlBPoVd8tPq64P
8Cj+j0z5KLPWbj8krSah71Zljk6THrPTbMyjyI2c9GaIAqJ4b52LjFAvstNWdZHjhZmFFK6jz31Q
n8Wiv25Rfz74OFJF6EjVdGJUox5Ppa6/dOlwyVN6YmtH0cTPVSnMh6LvT52icdw+LU/0mHQqNUZ1
fiCVz2W/qCj9QUVQu50pM4V0PLiFpmRWxVapRsHmTRQJlyWoUdKEt4Pjh8okbJjJekg9VBWfmdM0
ijUWce04cGkxInfoasWCsnWrzP+aSOzVxBncyhjP1t13p4lV5JepB33g7sqIa7d19Den7I2CdN8T
2gu3KTVXVk6+OQFbCF6Mrt/ReSgqS1GTHhOntb02F8emT1NvYG2ldNt/H3L/e1r3H1AelsqO61uN
pHZTFi/iuD8RYZDNcd9VXtVauRJBcR8gZns9zr4VuR0pGrbU85v6wfHJeGniYakL2z9rbM3dyiap
CgNnZmUCfyKGVx7L/dDVcOGPyk0vF10Xn2G7bG+FbCuqGpiF8zxq3ZFxPWM+z+fJQJGb2P04E2GI
VCDHXDUkMxcDEr0Xp201F7kuPD+xBreG2awqE4czS+fVbEDan2XI6DON8mQhZFdfE7sdv3RjG3o5
SnwVmwRdDE7K52MXx7d51ZJTzbnzrTVp+slUuLwKHaJPBK7681L61GuHJD8lTlk1ymIsOve7rPBn
Vt6fN9WYEDWmyP/eC20Jr7Ot8iQj6GOcSzwLw664QQM8+IUPhMhfViSDH0wkzSyVhKiuHppZLIQ7
pKRUJioa1Y41zJtKn2FDLuphhKfezcouODdZeYuMka5VNpdVmHXHvl/3c47aXjU0l3Nuh61ifXHJ
alLPyxS5Ea/qWYnlme87gYoTTVRGR+o5rcy8kcXYy7HQHk8HNM8bGhYzoq85zYoF1k58kcMtDmdx
E7RfZCrEiQPOqAot5C8skY2usaofPfGt47SIvF4M+vTlVaFr5uEuL4ZKB+HzZa+//vqvz3kK/zze
HfqfX67uiv3P3xYP+ep03kzftDLmv971n/tHV8bz12WkE5P8dOHsTwP2lhffZMxXN9y8bsyfUrc2
zfjjvTg/zTh6DKltxwGSjEoEtOgvMw4JKwLcdupAw5onW/3TjMsj6ABMwaEHS84wsK3/MePQDhpD
hyO0apLyZPx/PoU1nGAXe/77SzNOV+X3xboZ59BoGCo8IYaA7FY6MePt0LWsZrz7UPdt7LI6/pq3
wyeet+0skcGHFJfRXa7bTOmBfqY1jdyWWv614N0PK0Rz2GyYGqk1qkCUM5QlQqU8SGa68r9XQYzd
PuGVapvsE5NJsEAy9xdd618IuKjYCwv+vaH62mnHr2FaOy5J6kaRgrl9HqbHMS9OaWFSGDEEQyaz
Oazfa/gsr6txo6quCT3SDFhFoolcf3Qu6ljeQGfGUGVxcB8ZccEq/yNi/YcwMMc5x4Vq2+EjCRGa
M0FbFbH2qic8nwlKHMVJDxtJErs+7FrjWLq0bKITxIhWXYGPceinc1nnZhbrWsyaoaAzGvsLJ04q
ldNUHvsF+1zJWrWD9BpKZ01hkCorW7s6HU5GHDG3zkKhAjR+seV9mvteRfoLY9JT3tbfGjRqt4hM
rxjVrWoGP1FO24TK7oeHFuUnLeZzTi2uJAq/BDgNlBSWm4ikVKxKVaDH44jwD53ml5wFbpBXX3LL
/t40wxnP44UVj55DuVsafNL48Ucy0EwFtvNJwBPyNQ9gc6rmXZJcVkx+cjT6HvcjUj2SWNkIj0ry
7iYl7DYS8pIUvHPrNmPzosFGyZ6f4Uh8thKauc6Ivug2SlSXRWcj9W+KvrosGussqGIJG23ywKzw
r761Phe0Oe/D/lMtnTlyrG+NFd0lMrKVbQ+w0RYBV2OSixkx5Q8+DNeosbQqmbwAmM67iHtlFXk+
+4ELe+YT+DpdM84LnhuPMH2dh9GxE4lcoYAvxojbqsryv2jm3NLUDG429EvWdDC/cFmqNMhi1db5
OW6Tex9mpKxo6jGSL3DinDbOcJw79X1rsUiRkH62TbAItLbU6JdXGIFvgOO296BTe6gqa4g8K2yE
GqgoFJLxl6iGhzRmVqTs0NiKpeRT7RQzWaTHA0orOTN1Vpz6QRdckib/0pvbpDyhsOZu01qrfCjR
cRjEWo01u8nLIfw4dJU88eMkVTk3/YK1vlao6Rh4GTiaDU1oK20VP+yoq+V5h8s6++iHfjTM6jQu
x5vWznWs7LYXRqrAj9l15tMidq2AftEsymcMN9fQG2BU/sBUn4FLIbvWS0QUeTyTi6HojGdhIby6
q5JTXTA+S1sfz4qO3uatHc3GEZZbEsKUzrraUWFfgV9hU9fSqRcI2V+LondUHoYf+nC8J3WvdBkI
T+tyjrrGa+IUz8Yeg4PgiNCLRTBPOL/sGVN1od0Ria/azsB7sn1Vi3Du1PWJFlRVaPCSPr9KdDMv
Wqt2R8uc5YUplNXWpyzMgssk7m9i5lzD08WLUrJLE1VXfdncyFgeV5RlbuB3343DvuQ5/ZYiniji
l26U0FSV5TjOnU5/scOeqXxMQxdu3bns/FaqrKOdG4fJOerGBfyWuL2OClXW9m1hOYUipTWraPxj
GMubIuJfilJfJBX7Xpkxd1HKPzi1PHWaHClWhlTRssNqqAPLRT7+jvrokyDZOYBXKhmNnapjfpO2
bQcrhNau3YlwVorAc0aLedDUYVRRXHp5DYtpgKXHR/ieITkxQdsqHdafogasAMGnCPMz8A/PYzup
XPD5a5V0Tqj8NpWK6jRRDReRx1I8zvy4frDCEVxAWUbzupFaFQW6zHxpzdqkGY5Jhk/HwF9aQ3oe
xuONNVCicD/cWW0ZXQ/gtrtV1x0XhmUqHWTs8aC863KklVWhws3T7EYL5ywsijs98toNCEo/91l1
bGXkhpMmdf0C0Ei4Px+aGHnCF2A2uhOeFr7nO81xEcHuUNR3knRMmTSBuWbSprNVggKrOq0QHlqF
kiCbMUeaufFrI/8iqan5xf+PHtFL1wYix986Qy8rVJ6ODh7jxEepnzEthub2q85QCC4DteEGAxjw
lzMEnXZX9VJwQAEBJZAgv2JaBkfKeHW7N1qV1cA9oy9i2lVXIRgQmtMIyBGFlp1viWnxytdZ84Uk
dG2G1mMOFF9SqKeHSP5lSFuPNC/KpukvYSXLWdv5YQEbe8RjN+Zd+9Gx7OE06tssniEEgVidsxYM
iekhHJBZ+fWFK7nFNVu1K5xqAwE+9DqEOB9uSl5x9C+1YdlQxDJs2ktSZvgyiMfMh7WYO6HbwzYl
Vdux5pa3BeyIVSrq0i2jKg6UPxrOXCiSyO5lXaMPMEbYeCRJ8M1oWwIvBsf2H/Bg4X7+e40JHAVu
aAzBLDTflDaHGwzQRGPNQ8B2qC9pbwdgifoxuWmh/T2d13zIbfCLehx5mvtCjdwZtBpiRBcQIg4Y
wte8vg97Y7AL+5btmVrnrarTELWKVxCEz4I8Cq/iRp6mRobGAwJNfjFheRYnnd3PtLGcC12Fbbr4
/bfahAHKRRC0eIcbbMEnf/zSL3gOPlhBZxWJucxqX37JA4GJYjGBqVFkTX/V9ZW8LnycfPv9x67m
2su5CIXcQNdwCld3QdhA6EqtFx9roz5ghQmyy0yM+BLHYXOZGdhChR9++f0nTSOA1SdBoAF9juFG
ihWns/5JRcZgQ6rC/FIUiC3LLq+ShV+Lgai4CGeobJLRpWgQuRtRu0v/26RZTYr1LwoTBfosM7hO
Ei6+mH48FEJr4DBSfcnL2F6mUWMv42Slgz2mZuZUea4GBNAvuqTsiCrjnD/UiTQnnRzYee/QCrm0
i/IYQugsvaFVAVRTKIbhobDawkPWmHLXljmrjm3qjI36/dNb3bky1Z+vzAY0AIfryqHDyvrjQ05j
Z7btWxe48dOlrmoTKGzFdcYUHYYsOO1CHX8Hj6c478cSHJWc9doluOU/aj7Czj+EAXcZsCoPuqL8
vrWLkD/F5xA2bw/zmL0BMmUUJtHqIBAy8GwO7PHL6eRUQqMqrOlFxMrCl+C2yXBc9HVP5bxum8at
+hJ9bNPBBt4gDIEbwtnCkKpYJKwgbpyU6acisdNe8aQLvnZRmp8Mpq5VYZfFjWNi4fll5rsNUH9a
aYgTO+VHJrvsCst8KK2RzoIAy0hZo5+lLmkhvrOdOvlEouAqGDLaq6Th5WXtl59rklor4oPAg9QD
AdvAmnFUqBPReRLa4tZHDTsNHYHPx6BvpduhkKUuTDp9YolqSFU3iNHDQO94Y9TfFaasrxtk8VB1
ac3nvimbE+YT8rkMcRcvfG5h8KzD2P8O2W4VuEdZaf3VpDz1isKQkzjPihNcyuRetwX4cQVN42st
/Z6rtmTBaeVXjTvAc1hgRuSHskv7Geuqco5xjyGMhgu7ArftIEB2W2BKZ6mhldcU8kPoWwHyMM7r
Y9hqSOdmKHKUqHnyrU9ReEYqWVzbtLYXjYwsMjdOOi6FA8yZAXdwnLcrr9jqe7QkJul+mKAobHck
NdCaWUDaYN7XUQ6Lo+tmQ9A2Yl4Bu+clNU2PM3irAla3yuFBpy1XkYkiy+V+xxXPgc5TrE58l9ZW
li4qJ54FrBnQx45i5mlToURFMJPqOa07aRY95f25E49j4n9surJOUzXoZMiq+9APCRlvTWf1PA2V
rMCU53dkSKOaVqqpmwYcyDqGoKQHurccF61sav8krbQuVESS/Bpxi55EA6UNhDYSKEGIhWQPcAHP
5WXAloVuncRdOXPiLkBuldTY/xCWyOH5cTzwLvSGPpH1uWNqCjOq83NsOreBvXDuWGHkf2hh6TiB
W4pCwISjsUnnWaIrqZISNi9/1rfacS0fqoLBk/ZRxuD+Nz9N3VA2nQ/hMk/SmfHBK5jbWZCOrhht
sJgZiVnjpmFlJao1Q2CujLbSdJYHWvywmpZr5KGc1AvNRCMubcsP/NOM8prbkZv1phyHYwNZV1U4
K4KQpzPftGM5l5XJ9HxInHQ4BoYxLVybDIl2eW8PyaLSpbZcgJV8tYp0xB4Uz8WpB/8i60MSIcvA
I8+yr1GayvSEAleRzOKwdj6NTU3pPAJyGp+FXWh4pnhIwnrhV22RXcNmTE+jYCTxvClAg1leJwEw
vrgfpSsiCAYvUjHA1LZgqVSej3FzWlHbTrzAp0EDEWMLcGpuwD/JxoiOD0kM6UieAAVSjw5pWJ5g
pNlxoHkMNFAcl9TTufa9EYgKW1ldVciryO+AQaG6jEYFROZonSE/YXNc+IEN6kpezPAQjvlJqHEX
zGLJwk6t3qew1DKD6RPQ0u07DWxV3WvrrwouFhgsYNljQS7xmOlRK9Eyi34eko40l04hh9zLZFlf
2E0GW1JgeAwCMqXwtHwd4ux2xEkWnpZDmvRz09kjkMF1UH9mEbGXdu+nvhIYJu+8yXpOZ8aBcw2V
NjhKvYSWsXFF58801uVt0nXgWURB1F4b2+m+F1VIj1veBf5MxDYCOlj4MI6d5FE/z6oWX459QdlH
U9v4M64teEfnWEa4NR54P2tJGunjqiekO8l4YMgHbXH5JUPlanJGUWkWPDGhueoHVgsXlR1gEwJh
k3q5AaN7BjuY/EIFgtmdgpWsPDgM6vMTCJh8chVVTRx/IiKT7KRnUddc1H29cj7Dob+yY8vpZ3mX
wkfn+Ti2qidpPS5QzFdffqV6B/YJ9CpSfMnsDL5FU9rwqMI4j0dXxi0snSIBvuNjVnFY8lUDXkEA
r4FNJUChfSgxG6pM0SIEWizsqr65SK2wMEqjpuznPfRWobOhLcnKaMBicuEbgQHpJV75yXWWfgG2
SJ6KVmuhRGjHMC+GwFl2GQU1+ioaPtG6R+YsADc3Av4gi6NrAbvFwmQIX5YyKG+BonVKFbJQk9Nc
BLI588M8aL2h4iUE5Xygi4LAY3URL4e7OIntq74xKD8u0dDGXzsnBVIy9a0UCAG5siG6TIDQdKBo
YqbJEJp54aTyK5D46TztiqBUnIGZG6ou/KTz2pzJNI5szyYVCcDsrc5s2pDIL1VktcEsIRksk9Hy
qTxhWY7LhxQM8nAqMEypWbey2LPItuCJ9u3YzmCT6cozXDXEcX2Z1C3stLRF4HqX0V+VbOVnawA3
/XSUdYXva5MNBmgzzNsT3REYqk9xOLqsC5zgpABYOteKgdMbgUeuL/qBJ9dRa0oluDlmad/ax2Pn
ADgxwmZcFEmc5xeZ07Nzq0Ysn4VllrZnwdAVQK/YJg0/gydi7pHMwIyA6TStikPTAe3YtaKEXWAo
r5OgxPobzkcqWjWCBzbcFDW1JAxm/GoWcisOTi2/6L6HAbJaN+HGiU+0RPhjbyx/XFRNafRMjw1M
Uk3qiF71cTLal6lTJIkqixY5FwyHrHcH8G7MrAsLQK0TmQ5UNfIUbIcxyQz3tK+8NiGiWoyihNkf
sz7g3uAPyAB/YZzya2cP+HMUVjDXYKeTX2Cup+YqkxkGA0sKGc1FGjqd6ptbIppOYBXHLb+xSVZ2
cGoV1OyC+YloP5W+kXCOFsCMnsEJJ6AJgcPQn2tax/k5r4qQXpEeJc6J3+dACem+t4KLuLKKzkuN
DzYDvLGmvkgSH/SvZBzMTSji0Ot6hE6GksG6H+AMWivmh3viSC70XZWb/Ec9PTZ6eWr0r/+FZ0u/
TRT42czpJQXzlGBAQO4noQKpXWC4JISJEkI4yiAi/0WoYEjVF1A4+3zy9B9ChUISP5bQYgouQaEc
RvuZIWBDl18gBpBkHM5toM3+W9gUvroifi0ysiEXCaKi1Z3jUDAAtSLrMUdaJCwfoCf0ZUrHdl4g
n8GZLr/lIpjlvPlKaucmHj/6Q7sgJZ6RUnxs6uDGT8YYVhinbsFir8yGC+c8Cqw72sU3KZgzD9Mq
WoD1/w6Ub62GDgxOGh2jIOvcosnnNq58N2wjcCMQ/svK2uI7rjOtqJ90s4hpfz7CsUCnK+fYD6rT
DMIzFdHwa2rn59kgb0cLGNBCVG6ny+UQxR9lSJeVg7/17UBcp+4v6ha86gH2Kq8oozM4XQmUnebt
Vzjx/ksDOX2WFUBbQ/jheKiIbuIm+QsNfDxhaXDiGyufO2I8HkvyF5xhX8qscgeHX8tqEY9oVsq8
UkDa3zShvoVD6uMO5V9NZQWnnBSeNMxNs/YSR3AInAyX/aAvITZyy6GKFfgj93lRfwBjUKrS6S6l
7qjKNTlh+TwqaxUOuUvIdVBeVHxe1PFtSSClAFRcGDM6qsbA77PEqNquQjeOiLjxma9y25jj1gH/
CbIVFpFvnTtp3h3nNW9dXzezLo8+gVE7d1A+zpkTWm6bJMcl3KtZWWHn1QSo97BCEESMoWu3zdUg
5DGKkKMQOM2LMKMPtdbsNMng85LENf/D3pktyW1jW/RX7g+wA+AIPjaHnLOyJtWgF0ZJVQViIDiP
X383pbYtyW4p3I/39ku7HY5K5gAC5+y99qHHV6ep+USWWSQogU85mrmylS+Tn4UR64PT2ImLrsKr
onITX8KALGd5GnmOpiVIAugGUedOfqKJN0Qmn+uIL+UU++NAI63cGvpx28ZCdEUsAnges0Bl3xXL
ddgFL15l7bkluk3f2nFGrDmy7flmDPw2DqiI/dr5PNuyjt1a3hpayCTHL2dVzgevHKO60E2KgYzs
VFt0r1l5ruT0cSimh7xtP1U1G9GVzqhqfb+MSgnXcm5okSjZ7Ye5K5OhVo+9aCowKkEYi7y4yVrX
iWEs7QralZuGw+JaZpwMqtw7tgBlE7B3/B6oUKqL2+Qb5ZOtRzVB51FE1cDsaNbOnVzMR03FsaPj
uVxsnI+dOWRtdyJo4+2iX6CPV3s2sE+y5fsw51u0EDAfWXs/tuIO1t0HUfp7YspD37hvpe/vFeEX
i5iPptUffAX/TC/jyXWao9OX535QUAbUdKOLYTtl4uT2fmIWKP9huaeNu/Fmd1fz/MBdUkXN7Bwr
PR7Hllyjk9ebfkEPwbunMQAl0brLBqrKperhdc1LcGhC+9YT1VGJYeequccnLPq9HOyLS5ozr4KL
qYbPrZgD4DD2XVu2j9zUx2yS5z53k5zPt4ZoEinc9EpDkBnFI1fB1uPlrvAF28+e2frDCA4m6M6O
AW0Dne7GlXzv+vZNYQ0ZHNw6zvtmP4TkiUyjjlEn6yS0+9sx9wCaDBwFIPQGsxRPaK12QT/E1dwl
9rRYcc/M2dH+x4UBsLHGtAvHjRbDs2n6XeuR96XlfSSEnS5t9iQwdR0M1YI+/NYGRg67d9Q2mBoP
e9/kOAfLLZa08fUx5P3JDdV+6vouskCSQMe5uIM+ZiikIlny85i5RYpO6NMAAxuWi76ySLity/Cq
QX2LVmTaFDWhqfDog6BwZqn76Cjrimbybll/Qod5nyo64W7kqWOPR8qtx4kMF4fSK6KmJEfTnTbz
+GJb/hKLigvcJ1VSd/gtGuptTM/FtmbFx8pxznNYdFEnmp0q5VYZVCStTx/wEM1Djfouz2XitdYN
mm8a2+59wPtUiOWT1MHd4nX8ZCC47AnPbqvCnC1Dsiirdeou3kda+dvAzuCij95Odr6bokGwdwqG
nW3zNzV3MgpMSY5zMJ9Qw9oQaipvQ4SzDWqvAXyTV7E9sSbyOdnBP3pqR3FXm+U09/w+a9qdsRYe
TSN7MKPY4jPf81k/dnU+oBm6VkolkgyxLf0Z28q09dzyMnb8XpClTZg/7Cy9bLuF7ZvWv1k03TU8
xFdDL1aNniYHoTD09h1EUJYSauqENSOcaTreVI5/bjXO+1S3lq1TSC0wIgvRYfP3g6Nt4AEXTA+b
vPajol6CSLABd+dyAnk2RxABm2ieK3SF8zbgJrxmhQdeAy5+uliijuyhFhH8wQnARvFpAMbh+kZu
cMJ4UQ5DM6lsHaOAjL0vipUlkgliUlQO4XCQeoI7as3vpmn3Hu7iSM1GxY5saOSLiaWe1o9Dye2E
zH6TwCkAtwahwYoKkIJxU3C41F11MTXtniQNQFZ5S2NtejZ6N+1oloNmS+VEo3aZiIbCXa3mRSeo
9E+j0xyGSlzbTG3cSaaBvTwUdXbL6+bY1xB9wEmBLWF9amj9lI1QWAI+pg0FNDioadu7mUIH1H0a
ZB9TxZ7dzDkP44xDRiRFP2y6DG66095XBO4yC/IX7KwPxGl22ZhfiDe9ZdI5Fgu+pjAXKRZSCeTK
eaoW7xiI4pwJ7cQ+5ESp1QbCzAE8TI1tr2eJ32QXSbwEHdBth5RfFBTLvuL+yZvEjjbAalS1L8Ix
8kqiYJ0ARvSlcxOOxV034cAo5zkpjLk3ejRxYakjEeOeEOuMFHaMUmhrT/UexgXgj3zPg/rIq+7R
d52jhlXbODhpHbZRrPqcySWVit9MGSqF2avSJctTTHaKvbp7K/LwZBkTt1h009Qf+1B/9h3CV99r
D/v2trFlCgwvDl05R07h7/KJ3LUrbdkZy4rh+0RzwNOlGTfZwJMwkyTqYcB2ku6K3n4amBtrCUfK
syBYBkAFM6xHYUC2zFo9afTunHpQ7xo7DVUPio7rvVXJhzDMtg5brgmU1Uh19H4e6caR1WNJfZI4
BdgdaxCvWVMO8QSdIu1y52r0yFXGnY8T6fwUFv1KMm5lKPYh2MoN59lxUMtbNXtXXUXxiUcN+dDG
YuHl6MUj2CfUUhVNs9lnl5KWB+P2aakZyNaO3GjXOuluWlaWYtMCvYsyL6fAHkmxy2f/2RvlfBdi
p0mUnk7TxPrEGsvHyVtugAk827bMNpWon8iA8gX2wka1g45Ni0/NMroL160HRn80lGG+442WsVep
cwWVQHFruVh2c6wor6EktBP4mOJ9oFOLErE2CSih91nNCR3qOy4miPtLsR8DW4Iz6E9Ls57anvs0
UdxokgAmaKYQre/swoASVwpahivdfB/kS3uqssZHP+k82lzD5ABoFbb6mYAE2a23u+8MkHsNTnPV
DM4zy7s7U7k3dJzEKXQM1KRqzytyb3NUNKVHIjH2W07KhBTqVHOy7QO3AZ1UvPes1NjL7ZQ77F51
5UF08qgGH3XmOKWt3T3NtL4NJ5C+pgquJOVXRSBBi7jz0Uzyodbhszs5t3iEc3n0HGnSnvvlxu7c
56UI92FLrVgSYbZmwAtbNd2UVHQJfLFhJzWI0dZUOB25WxDnDgamjTaiaSw3ZXp2bRkrx7dSm4ps
kfHPvaXvrSW2zigEWY15kjjjQ4w5+6GBsgUh0O+MuMiqiow5t8sUhe7dzy8ClPCbLu23i6yzdcCa
w//7wRlS2dQ4VtuKC5n3ljkTKwc3e9+N9z+/zPfe8L8uEwB0hMvvwhxe38Y3fmZGSIgugKBwt9/H
8oPl/Mri+vPHWMfpIr1I0GyCpvz+9dtw9svSL/TFjFhoO5a9/O33H+BZGfiG8EXhOTc/eNs8MNni
eHVxAftWeNdeePr5639v0P35+/nh/bu+ormFrfTiFluriBXdNEHiimh60zL525eCtewDKoBPiOks
P/wUmoE/HJdSXYjc9U3ckagCPOjGOIat6hf26Pq2/3B3v3ys736WdYl/87MTKmAu+VpfKicOQcqj
7+oS7Knz8Asf+S++v+8u9MOHMoEMy559vZAjEpNHU77BObIexdUv1tpf3JcYMYmgBcPpuKYtvv9Q
jmfsEgevubRwAfTLMKVe9vnnv9Ff3C7fXuLH5ba0Hmolj5iLYS8ye3at/2A5wwl24VfDuwZ39/1H
kLX2OteyzUViB3SCSM//weYFFAIOFdQfG7PK1/zIN7+8sQzqe5+WlyV4GYOr3gCE7H6xd/3Vj45F
HHgAl8FJA//57hphXlQGVm9xaVD4zTGrI+rdIDdRVsni/GIl/8W12MotYZwkCyj0p++vlWcMnIb0
zCVfe+pUlHE+p0Edlaixbr/8+P/KLF1/vT++pm2+xd6/0zP/D+L063n2zV3wp2zUPzXCAa9YyH/g
Y6vi+fXPflc8Ac2vT0FgcDHZV/nyd8UTwwAD0GDEcWwCvBK37W88PSKyBIMhgWesw0tWZfN30RNj
i7B6kKnDg44wPBLr9G/w9OgOsQz+2PC+xKKQsEJcC2edjadc/rAk2cTrsGd5f5GQAg9Mh+65MdOR
oZSNvb558JHtqWWndqYM9PKWl21t3fTzDFsbqCwcVQ3BsTKgO+ebjruHsi3KTa1bEdEF7GKgqLUV
enAjt8o3XA35Hn47iXmVAXgcW57H4VCbTRFUur+befUcQvaLLB/wcwDTU8aV3bqHYbKWg1eZCcGt
mSEP0muVzGtCpENUhIfIjIg1PTLTEjwIVeFer9mSak2Z2GvehDlfkieQhtYoCltTKdWaTxkaiyTB
mlkp1/SKXnMsth/CIYEgob5kXDgakw6pFw/xF7bmYIY1ETNoFDfWmpJp17xMM7ZXaM9CAPP1c4NI
zYxoTY7uy0bUhrj8OK7Zm25N4Qi4P4gAsHjsW3R4a1aHZ1aX4mL8PRtL/+O8yCHb1F6dR8BA4NDn
Leropr/NlXPHJDH9voJw2d0ItNs76AqxqXN/V3tza+78joRNlPdZMEROkLlbh44DMO7Me1dZP+7X
wSzb3qDpXwpzPcv2ynerg9H5VU3sI+usTdmOB6vwk3KBu7Lm0eQSQ8B6HY19K7rw+b+bB3YB3Fko
uf59Fuf+LX8p/rR3fP2rb/YOnEVIufgOGM8vIOnve4fzDxglqB6BktrwRXAe/2vvWJ8o7mGkEcPY
cPBTeIrlH3tHiHHieHQWaldgmjBT2N/ZOxAE/HHvAAGHMZjrUxZtBlftxyNTo+yEvMEuQ5irNpGO
8wE1wE4aY+EG5SntXKwca5hBZ/f7aUT0pSxsP6VDeOg8gBOQ1eiGy/meWWW97SXobUOFjlAYp7Kv
PnN7ohTibz8htuKXvZU4Vv/QssW9BZEzbv3Gz065O/t7OQWJX9swYYKhOYPe6yOP2/lmCuinLmvf
CZDxXTWaK3T+qyxetioVU3870+kmgPlyU1eFjrkaWUK0QViH+UWkYXZEvA+raA6rMCrwrtikNpL3
1o7KIEtlgYQk68UrNfbUJ+0aauiMHHZ+m/GIVwtYfweYgcoMvWS2LOGQgort8tDsAqppBHHyZhHa
RE1AIDmEokE4KWRR48AmDp3xDHT8Isv8MBl71zXFqk/YLx1QjKPPM9C+3QBMNZO3cD1i5ZfHwSJu
1PiIPYminrdLDlKs6ZuU9XUeN7mfpYRZH6qlhYHT7IAjsL1XL9dQ7OYE3tijUwefy6a8qhHnxR6Y
HxDRvfa67J4PRkYjcpuDCt+byt2TPjx72MGxw1l+TI0bwBcvn+SoD74Rz5Ps2ngOrfeJszzuu3CD
U+CjZ8K3ygSgZ4AhxNJA1jU+vpZBOxWinzw/CQGiS8HZ/mib8prN8kGRAIRcAa5SG4CzFmKXaVEa
wAJt++gP7TPzp7hE8CVVXEBd5yIHjFE/lE6oNgXRXjQxn8OZme7RKMfokAcnFgPpUrPQIfY1JBzQ
YtdVC8GeBKNMm6X/7Fbd05CrV8Rs3E3m0NcqU3KTT3l3MBlsaAuUMDfBsPEnJ4uXGgqzwnLd9ugZ
4RS5BdKwFJpJ5Tp7qw/DLWeFjB1W4kYo2fuMWLGr2k9ONUJ2AMWWUtmqpPfbd+Q/fbzbuYhx71cx
UA69Qbog8nPYSUEThnEtcI/AIAepVeYL8CVEv1Zhc4Q1yWF9ASedLs6Q7WzPXOeTufiK7S1LwKvf
4zjPxnOI12zd7q6qxy725+BaFf5jEBYXZWrEoBw5J5mctopSkDbirTXdU6BzkpRTh2pVVsj/BGET
l2EX4lAzm1JVZ9vut61VfIAbsFc1P3UFwkLURgdlz9e2hvnRQxcOxhCrfZouhbaXA2yI57wVV56P
EsInY7CXdXCyw+IK1chWW04HSAE2ZqnUEvl+JxKeUwaliop9L8XJ7sWJFtWzpoDa2dj2kU+zD27g
PfZNe7EL5W7he4bJJKkfQ+X1ksZ0MzLEgYqsvttCJDHACpcpRgTkdvSzxyXD+6urHukn4WDrwd9x
sFIR73RSSbXPluatBgGU2otGVia04eSWC2prX0UhvtZ46PJHO3NuutHhCKT0czrI1k3UAANX1eQd
sxSOrhAnAWo1mnThYFnXUJHE8+I791mG373JSqTeOm1FStJbj4XPcDTQ8jrmxraQ+aMLTLSwhyYP
u68GZ4W82XDT5P02M/b9kLdnMlhQkSt2AGFeI2Ne3GjIaVMgrEM+6g/C60xCOoTSZ5ZCN4fuP9le
jC5Lx74ZVapdiLULyc+LGS3UDuWUwH5550t2X1fciWZqK3y4vNpOuXxtKu/CS4pKgY1LArPejg1y
E8cR+t6uY9UmGBHWW+rlBmTZmCLYVMUq5HeTI9LetnZhVh3DsBg2btUcEMOAD0VzEI51MW+d0e9j
7ZfeJivmp6Ihm46Tl7qdxHay8x4m0HDl98UH5LBPS1DiT20kvQd300ieIp1+FFWzkwjO7KAgqHhc
fBFB89nOAf2MxNfZ49izp9BJfYk8Em3eOikAh9Uvy8TTQODubOc+Rg71uWQmyRRTMFIyRIvILuiw
m/Ju4w5YBAT7kYOTIhCaJZ4yMB7m4L7qxXlxvTfVYaMUjl8idxSAk5ynqFvEmTpjE01teGmgkm5t
d3zQWLcR0wjtBSNc7cG2ItxoN42HFJQfLOWWzPwFZ2eTliJHYhzFcor+wr8wZrGtFXj2tmmbJ6Ho
nWd6HZdL+AHmxLNUObA07AtR22Fp6KCi2EHoZrHZJydjGEEQNhu8v0+NrEuge+Vrmy0awS2Y7CZ3
lisYbl6SVfU1zrzz6OK/AXY6dlBMo25oMHHAKtOw6F8zX6FxDupXJ0ezLkMgRFamkLzMzvC5MKOA
z/kmLMMh4VPngrnu9XqX1XHGvKs8ILjLKmEi5O0RG+c7YMp5GmCftDDyYLTM3Vwu+VZY8iPStp+9
MYidvCi2Waa2qCPwG2TDHfUqGtdDHRwWK9hXXY6j2LgKBJUbxAJtSexbtL2Ei5vwuXhXRJUxK8bL
FCDA2lr8RBxRxGFXvTPL8BSN2vNYWjS16sLDK/kvKve8qOLWE8IG2U0DexS7OTjDszvk21y4HkKu
fc72BPne+qrUusz9qBGE80iKelhgk4V1/lWQ+//ehHvIUv2sjj6V7f/8Ew/f0W/tj4341z/9rZjG
CGeouWio11yBQ1a657dimjLMFXOhpwcOAjNQgX4vph33H8xGlhoVLtQz8iUB9ht9hAmDIYMr43l4
MhrzkHn/G4349xId5F/KCEEICS0/ammMQvlerZEADdloQnnVF+mC0ivLt+6vElo2Wwvyb5v99SoO
RtdjRKZrY5b1WtB/o3HVMPa0t3jyqiul0EnJCHTHsJlZnDm2SqWDxE4J9PQUcAb+uMplrBe4S9qW
t6TKb7RgW9vLxWkkpE8ItbyYMtzAYDVITDh6e7vY90N+FkO4Q876BOH2Buf3uV7KI3T7i2j4gUg1
R8Ww3gykxmiJWSO92XszIMbwlU5goMF/4z92ChkL3b8Lb2rgafg4YJsMlVSU4e+nwArBE9DMP4xI
zGyzEQ1AZ7VzJEM4a1O/lDX8NQPA3nYfAJUGwIc9B9lJMOUWIkxbQVTup3lfVzpFXhlzBEo6JzNT
ZN7xsMrknjqmA6PqsCt/budpG/RKRhPSvWjkncphD4tdg9qpbYDs1uJ7W1qOE2L4FQ2wAca9V3Rz
FpHJsy6stq0zXr9KWlFGyoInWVpmy0pXJH6fNfBhbZ00ARM7R7vq0E+1z65xvdb56M08aI/2XA4l
9ivntkS8bLrO6RrV5XN4DBs/OAy858/rEwkehwD7Haye5c7tTO/uWam8BhyVNy47lg+ZH5OxDT+U
JcLHvnGr1OqJm9jVlGPTUmNccz7vBxynV2HfB2mH7/wEL6F9aXN+nGaQIvMETCesxd6ykXmGGwQT
Xg/j7TL0B0mgNYYlDW/57FHUhrlI2Bzmm7LC0JBJubCAaRLU4hFe/nDCTzegbxMgQtDYJK3tI7+v
J3FA8An7PmaUbLtO09iE2RoHHoACzSDBYdbtRtcEST7Z7Q2vJE2ZVZzhv54H4P4bQKo3bulh2kyP
uL2vd5gapBLukOs2HO86YMAfOKLk7yXBeShV4o+T/16KPvGKNlFZTe+J1W+4320su1RpaMGrZG0k
J9iYrV+9tm33ZgQetynnh1paSeMMh3AqNthAAD0vW3fCEBg2JE7Y7YDDwKnME94Mn4jXn+vC2uiR
pk4DS72fPxvQTLz8jIwQTUZfO9sJ9HuivOHZ88UnvQAHQVypPXRI5CBYsJzswt473D5joFAy9uoZ
KTikDx2dGBak2eBvuM12mM3wPGVtygs0KzWpgRPyKqKgwffSQ6gRwYPEC4JrfMZbr+9RG4qFJ5iC
0cbuQMQ5h8ET55l902nMxoFkd0Rzg8Xc0a2uJ8BIGSo6yGjHEDcRKYPIDhtMamEnVjknFI+P1tLF
ygvuepvfmLo6Bfj3wQ5PwBNu8lActI2JMJkUiFlNkT0rTMXAPJu4R34u5g25Upb6WCr6sVLFAUN0
j7CrD4iA3ywjTcCKJzhVz54r41rX8xHs0g650hxo/Py5VsGuD5H/byqBGP8ECGs8sHKZ9/VizKFD
bVPMGSYb5UYnM8dcD29yFIL11TaDt3q7zFb9C7OHOn+xv6+pQTwiggEtxT+/33nzmWKCg6/FVVkr
G0VgCC1+mFVSFINGp+SMECGzDccYkX1RLW+0qtubulbkni0Mesg03faNPJEpS1QYPJKp20Lxe0dR
xlEvNU3KZUYif521s2BN60zEZQZJYJQYTeXWg50ErNsNJeq7YOljIdsHO8jrdKCdE1MUQGhC4rGO
22lPKxVEXWa2VMIpwMARjZESbRG8Alu76wN5QMLluLT6UPf2KajKE2vtcNuNSJ60s9jZU+7F7QCJ
JQM5mrtyC0koQD/b3rpzT2NMzDqQPMR97XByyjraRbKZPkgBiTj0e0A9M8A4sZi49jGuahLqPFTL
Vd7KvRq9rQeWMhGYNZEZjOboWbMSRAiVdTL1eHUClw7N2SA8Aj4P8y13ONcaNELo0Mq5xSio5qKk
voWyDh7BDDrxjSVQvJIoa5prIDNDUmBMWNQ08oM7A73kk3gJSXBEkg5tAhYoa5YN4j6vaOW2tEJB
6NJnWQBqcfzYD93diH3IacvXMgxOpCYDJkxZrxn1lwjhisjvMS0FQzAoYJB1L+tOArOhbKI3IHWG
iFnqGeOaaCzbWaVuzi/O4lEU4MBC3EqyHUIyPYQNZzxi7kRz1git7L+pnv5l5fyP+WNQ2vdG3pdC
BMYCpEM8zRXexPog7m9LBAnkZWoGxFuzXiSOPDT2rxKoq9v4RxGClwTDDeuehXgoMKRD+oMxhUyr
QUvLMdfCR7zSv4he7ER124wSK0HHwkdqTKY//1Qw8n5x1fVzf1P69JXqIMVY1pnM5g7T6NDD4v/g
VHziLmoPKHIy7pj36GfOHriTigeEEXFXjBh1YcM8M83yVFrBSXQuiZHw2OhwpJ9YDoK3IPKDjwYi
4QqDa7T77GdIB1Lt+D1WkynTfglMyiqrTihArDgw87zvEa/6VBqJ9nEpEKAR4rPGWk0RBMwT7MBz
0sESj4c+vOtd8HfYDz/A0oCAw53rfO5eZRDucCjdt02z8ddsie3JnUNyK5UEFQr4KrOdl57EdeG7
STOiqw7EdGvnJjFCDHHtcD/ywvmIRf9et4gqt5XYN661m0f3flrko0vUwevAdyOmz2FbODqWHXoz
JIj3apFHe0SUZc7sxNGE4IBR2GXJ44AONRKyOLN82ppmTIdswQomqeo4QohOlZSyYFG1SJY0OjuD
Mo65F+xoCQST8ekuRyceTZV133doJR0HbhFma4BZFkVE+/LFX4FwUqyKbdwgxhW19AD0yIoGD+Cq
AQVUUfrBzPluyqYJDk9/VQEuSGTl7RvQwKwmPXAtFtWeu+WVewrAw/5iuf1qjf+gjI8uSgx7wWqT
J3PNr6xNfawfxu2y93b+CShrHn+2wcgd6Nl8HI8/v/j6sJq/uMECaOewfzE3cX1z3yx1WoFVVMy1
zlXiReZkx9UGLBY9Wo/BhqTkw8WKT49DKgETvuB/9NV8ItFBbLIriLDFL97N9wff17vdwfAvICg+
2qjVFPn2zcxkBPpIZX6Vk+vK0Qi8PTbD7uef+Ps968/X+MHDXJqit/IcDlZZv/FmF843P3/9v/wM
iJkEIGocYEc//JrFhBk1BFHVq9K6rmGuNR5qzq871H/bd/JTG+yfQFLN25879/Wvfu/c8QSuFcmA
3YWAEKzyPzp35IlIgNEsACq+zFrBUv/NQkdPD5TDwQM3PZwyX8yp3zp39o+1pQ+AEiGHBIP9701h
+dOsAjxuAuPo8AbZ2lbjpvt+ifMGnoF0mL5YtH7mokOYstef6OztNYW8LLGvtU2fBh7shQGDIR1+
Cuf6amTocrOxqPeFqAsQolbcBL29Qb20IaVzN4rBTllQ9vHAcYd2WeJbJVLJtHsQzK5iTfUp92oo
zlaz06p9KfyJRz11XzNbtHFlFRip5k3HiQ2vqofCtra2CcTC1J/hGtHZQIjqLbSdhTclyO11cdCH
0Dpn4sddaeaNKSHcz56XAJk89pOHMxMpBwdTGBIEKl9L4h8A6IGXnwDL8KFVEQ4nDAzD0AoThNdL
SB+x+aOVZ5jdlefWCN2xw7/6EgOxeGVHRcGzKMjQznSbOSgzjKsCOGCP08OS83MXmGMFaTjHZ0Jk
Bt5YYdu3o1AJxIMiVcY+Z9S+z2bdwY7viwhP48QIlnZYsxwWiyAF7QpnFpAWq0fmNVbs42zqgYOD
G+d3nS2rj8gRP8yLOx67dUyr07VbTUcMC6ibjxNHWNSobVGNfuT2Xhm5KHIxDxMdFeiac87tB6du
MWVUjBfLd/1UqX5JbG8BOBzifOFNaG2tsr91rPzVwyzYLTLLMUUS+Vj6L930grg2JG//pZ2dctsj
c6R72EhNBbPrIaS5udNEV+pN8OV1nPLbxYFnFfQVui0FKZe9NFReZVjfEBoN2U2dXV7sJguB5GXt
YQ6z2A0BGCALBOtwlhHJiYhzN5yvHLkgIinKYtxi2sPjaNB+iCI/O1P5hgQo5OySh2hPoXUs0Ze9
9L/7HMGp8+/t/n8WL69l8xf7HP7qt33u62bm4qiE6f9FUPxdocRwZWx+ro+t5gdSCOM1CbRJIKRf
hiR/O2yKIWsZwMvAPKYQ7jxK+b8hUGKf/a6sWEkhJOYJpvzgefHQO9dnW357kpeVtyhvztoL0c69
Kts7u/WOhdveqKmCNTy4iEcRGLXU3ckZAwULpTLQ8z7GLk49pIO6QiJ8xqg8zDC4Je4C06wKaDS6
nR+1C73pSI1JRSFey8DHSbWs6D7kjR1Vub5rAtjPqKVZRMvpbNWkjAojK/g5gxVbk5clQRfIVK+G
SdON9RUxxX0AiugcDIs5SdvuQBWgA+MZbjFbB1u3RQ/IhnKM/RyK2dKY+9wwIEBWAQMDoZAaGZuM
dTxtFQYdBG7xhnE4DxglYkXa9nalY91ZC3SLrG7Pyzo1YPH4J8RLJQrLHoOWyzE1zV7SE+XO6/+y
d147clvpFn6V8wI0GDbTLUOlTtU53BAtqcUcN/PTn4/y2JacBj7n1hjMAAOpVVVdJPcf1vrWmLx3
ht+78aGuoziYcMx47Tqw5llyJjfFnAf6KpuwWbJ3tK6Nx6L1y9BPJzwmE/xMPlA3RkfZOedFsREk
VKGyXg69dpqF82ZmFraGjA56MdXAtc3LLqadLRl+iBGiYz1rN7nVFfjAhpAZMV+JYWOcjGN5tDuh
egBC7vR4Ereuknye9epWVg58gIKSP9USbae3Nf2BPeJVsDjKmqjuwyLfWJY50L9OdS71NDkuQyo8
zJhB5lR3cy555KyDFrYGRCPWuDh6XFAz6MbbMG778T7uVcOPNPc5VuoM52ezb9XsJHP7Qbjru6bE
1b5ccq/nsZeNiRvUepJ7DYgRrxENTtNx87e2J0Pjs6xdu3cNVux5pFWUmgw/752o5YVZqDU5sk7R
fU7rCf/gqJy5wN/dmlEsW8LqlOTaS9eOVx2IlEBxBMyvyfiYp+FjBOK5k/3MqFU60cGezU8lt6hX
81b8HGHZDhsA7WQsL0pHPY1Z9tqs7sXaaghf6mRfT8pli4XJk8yF2FxGmlfn0eRB4b7us5XbZ3xI
4uhTm9jOoTLgxGRKeY9ymw5IH55bw2aV3scHx8RGsLDwr2FL7xxZHa3YfOwSNTmNfWWxJ17v+Ten
y5ZOCGxEXYd9bHX+N0TIiFtup7nblzcbi69akRVokXiWjEP8cR0GT0oGY1IfZtxSto1ZJMUfKQtg
lLOsX2I1ig9VknTnzDJd1AFtMFeLtnOG8snR14zdOEKbMdM8qdcgFo2mCqMiGyBE5Cl3ew/FMWUz
W2e0tswTjurqqMfWwZihRcWejb3A/2ssHo9F9v2QBWTWr17dVgfRt4dMsYKsXpkTZT1ywEJBEWSK
3ocgwmxPJHbgMjDtBfvnbXKqCPOcAVav5fiozdmF2Q2n2liuXdHdj/Y4IBsp9wk7Sa8qoxXyrnY9
zgN+UbNCVZycSzHc5vH05OSQbsv1RUaC8xaCnVfW2ROUpxPT3cMi5cPWoHvtUKmeCnjTc3HH5LIN
bbWrd+XCvFjv5quoM27ziqH4zMzX1puTzrTVW+TwVZjRWxprN6LOriF/nYGwU6ON8lMUmRiG8vWl
SKguROs4IZiTN2Zw6E4W9qC93jzUibiYlWZbKHPV4Jha8idjyMxDigfO2LskGIdJDaTITOvg3yP8
m2JP50j76yP8+r15/+MBvv3Mrwe4jihPQ55r2+TbbNLc3w5wcudw23JFaJzHOmEG3zUqDtJbFL3Q
trcznJ/6rVGho3D5E8PU0ROSjvBPTvCN3f3dYGA7wVH9YTrZqGpsUr4Nqb8bDHStLIXJXOIGTBiz
FBxFG0KDp6m5PGpZu48S57OAvcuef/ikDlyeW0ehzuJCmlERtLnyiFg3UM3lylwbKAJ9udOjoodX
nN5YabFbIucMrRQkojbokOXVfT67V5NhXtZlvYc5cxgyHf8gogHHApvQxZzqvTXdW2Y97HpD+1Cs
6oIyBH3IKOIrexMTKE0OlKg1w0XvTSyb6r400qO67f4b3XmyG+OMz+/GdAEPD101upfGWDzl1rKP
5pyWxXRviyy+j3GDVYzng8VEcBYXtRosvfiY6jjj+B4aQkB5ncUc96vSEaFAn6BYuP2UXN3Fs4bD
u5gSvM+p2vt63JwGNc5DHUkh8QG2G+RJ66eFuXPb4lPM6LRfeOvNKPdD26U5+rRsP6/2xtRnFzbl
h66qwjnuEXNJHoqi0I5s+C7QU6Yn1qqnCLQDRxf6rygHIABvxncn6x5kjLVbnI6nXzXyKdxO3DjQ
Uqpp4FBaXSZ60iyOuPGvrdzwjarqfdlHbzJ2HjLFMY+pYhzEEn1gSgJpCxsG3TrMWQgOnl5XKJqF
ONRJJOEWluoD6APpcegdsWzOgYibO00rDlQctg+DSPPjFVRRncroCKyAiAyVBWmTIfXD/ReuSbqE
LcQrlJj5Z/h8lT+2CO56ZdXv3FYDqmnmIXy8dK+oWhIovabuxgn6NM9hvbzKrYhjblDMQ7xVLJPi
5MfGISrChhU+0tx5lm5n+742i/bQybiG8j45ykmzki8UFKi8o9w9rQ1CQ63ojl0bP0Bn6Nhh6Qeh
NL2P3SOUyWCGI8oeZ6zqi8rpNrr51xqGryfW6UKdx5dG4gaHg/U06G2GrdY1/DFqCHRwVJQpFGHV
fFmWqvA7J7tde2f06zpmIWJeVavDLaE89ZOm+oL9a6Y3vOtY3NjQuAdH25lpVnlSsH9xc7nPbP2y
sDhpVLd/WxtQb2r+6M4ouEozOsZ6a+7BLpR+prVp2GW13KVJxXoipxdVINfH4C9d96oq3EOPH8ef
bOVLGqWPtbK0fqzECYQ69YuRNk8j/ENl0311BHG9j50ZKpryClkfkU3v0AcSG6Ihabu1cvHWN+OF
1Owv9iovcNper5q4gN2Ofr82b2ZKoauqK/cFpK6wsa0LcEI++xPVU/TkbqTi9AgDfdPth1wJxeJc
NGm6c9HEoXFIqVAY9KYjfUCfF7dOaiu+XnfwpwE+sxj3ca6fE/RnvmX0gTFFQZlmoaJYh1VONcce
ZAtqddfv0AQUiXsFz/xoj/kN3aw/CL51fZIXoz3H+7xc31xr7Hd92fmWg1q+Y76vZDHapPZymNaj
26SfdHPbBWlawDzf9Zo0u+8L85OLii4YZom6rLWfYqWvfK2MuInrZEa22odly7PQc9diBrgFLfD6
3xP324mrctj99YnrDX3/Z7NBfujXI5fGGCsMTF4VY5tuceT9ouoh6hVZDas8/vNN1/PrkYtEnnYZ
r6r7WyDRL0fuFklmcpUwVDSQLrjiHx253xxdvy27vh25WBcR6hJsSHTG9v6+b5rHZpZQFhPjRs7s
jdZ5PE6sFQMNrTzjlXZXG+zXun55hgFgBDIWn5F+X/ZUc4G5gdSyGQdH36G0AzvuVSroiEztPNAC
QzDL8XruLBkIt6t56AyfFrd6TdI4hO53l3PiVEt/Qt501zZ01VkLe8RtdImuW7+sSjiFsWI/ytyt
/QLvG4iz6JEopGcTfiMdDqJYay5vzNi40SYrdNv6ZLN4zc3VOK5j1PlDrjv+yJYH1nOoO81XLD53
wxSbpyqO9s3SfXLShcCilXiAEtULwgUPmVHuWahuA6OJfHVmumk3ydOkDW/5PAo/yZMDgQKV10ib
eV9idMgLud3SxrjOy/YEDwedc9d9bUc86rNS06MUDrd7xywgbm8yc2xOc9nDJUvps+2yzkGvcZ67
oDeupcWpT5MHPagV61dHH/PrUdif15RfLo705FaHeuYlsvvAGe9eZXVxNF2FsltvFtA/0rmR6VyG
tj3xrUFn8bq4j/28RJRLI5l4NEHWnhSkGHgF0DiBluNWjcH2r00WI9dBt11Wmy544umVlgbqwqVg
bWfMRaiAUNlnyUYv5tlqWDOsPBoLkHuRFgClZzwoZLqDQBPtxGQUYVf2OsefUYaVkV1iBbpY+wwF
t3bsl3gN0tL5isfb8jK7FKEiUyNYhiULtche9kTvFKGaEe7RCg0tQteyw89I8snmbti76ImZ5Xbg
iGE93jFCdPZDYyahoeHBVdUoCkYk+540DOW2wILslSuftJ0tLPaWau0cnpF+tkwkStSsShQIkiDh
8vQEnGnaY8x4WHR5Hga1ChPFWfAxNJ/qAmJBmlhQSwk5ODUuzU+sbdTtdfsVpTqrMgqVxwpcpic3
C8WymSn0OUa9sBksTIc5TrKZLlJ+757RKcPBmRh0JpNg7GTj08g3w4a6WTfGuFQOap/tBrMIo6ii
rwWc55Wb5QPnTOkxBkBfm2EI6TZriLWZRFbsGtk83FlTmePk35wkhV5cA9ztDzAZv/bV+qnXxmTX
NwS+FG7RXaXw9Xxjozt1rXW0lim6tBR73DtRJe503CypW/cKYuzN45J887ukOF8m3hUQHUApCbkk
0knavZIuD5oCLmImAstX8dBUm5lm2mw1Lv4ahseL14Bohi8bh+lmwlGEekgN43Gkofbx2j2UbXay
s+o82dJXFPtKmm+RrV8MtTW+MIj6mKz+chaK4lXMlgNnGqbLAbjqwXVZhqcUsvA91EudV0tQ/46j
+NrCIvW1tbhSJ1XzRtd+Wh3K+zRbHUbx5RdJqeOBnz3W2XILfP9yMBHX1lvKV1U69T5PNXibY0Jd
t9SAXAjLAg9fHivJisOWhrlbFr5CDSf7oMT3xRy9qfXw2ggeD9gjxsDOu4t00t7nHM6MzA1qQ1nH
O23QSJoyqGNFtynwNyaRhqVHjlcoLZ8Hi0GZrYgzQTAOriS7Ojqmyd/s1YzeuwB/1NcXQ6YewBZS
uIpol6l1e5O62Acy0LSeMrtBP3cfEsWzZ45pADnYesViV5ohlfRVpfefa2Efq8F8gVZI6V2icerW
TzCWIQnX84EPXewSnQKJsIqgsOzrJOMp49YKkwOSOVwC0lDLHZTWYiffBhkALYTR0y3yjstCl8zO
0uJTD57MroxrLW72imj3MQRhvlPKQY3/b74nTpr6Mh2+ytQ+gyTvUcUvx74USTjYha+I/Bbqq8JZ
gM7eWC6SvrgtXSXQ0uShAGOfWHiVBlRSQ5k+FGnvg9zsvCqSNpEY6yFytMt040khbJGu7jNX/oiG
isrScJRlLx1dOkwiMUbEVnWnpmiV/q2NvtVG2t8uTg8QjWDS9X+cSGw/92t5ZJBSQadPTNI3K+D3
EwkCLKiCWI+qBnKETejzi4NwsywjUduiW5k5fDMm/6c8onJSVQ3X4favqvydfxTKaP5uHkFKBDIg
RNRYptl4bEOR74ujfuCqBt49nQf1FMOGW+5quf+uYPwzOdO2hvlu6MGnYHJio9Fn1s/Sl8/744to
SmdkWS6bszG5mSo9YUpKkMTQK3Q0KmPfoK2tOb9d69RyrmGQ2S9dbOv5rcOcw0/UctaJ52uQxtXH
NgFVGhXAYtJwTbXFG1bDX5biHIFuL2oFxLzL7Vrf9yrjkSUhEai17+ZUHvD8El1YQkJOey0wRXsC
aXpDS/upWPJ3hQN1aJojD5aXhRrCX9MELqIMHb2AXgOIVpu7r92wWezSCckxZru0BTqslFrhgcI9
tCNgQNR5j8yRW0NyG1YvsaUeQdASRaY1J3a0HwVBFLg+hNcs5UfUsENxyoa9iDpTBshuhwUbRZ49
BU7VUZ5OeHwaW/00y+pkCKUMNFE9jFp8AkX/2M0JMUNp/5yXi8T+NH0mgOi0iK7atVlzVSXzFLit
bRA2GZl+VHf3xIojxRNsDlAxX+GrA+UhjdticmMf6fCLkhmEJsLmNXUMf47ef2UgypMl1WvPbutz
VYsLe+pE2AiwX0XeEpZF6oTXoCSElTRUYdroaFxHLDqiWZ81WIHGZrLCN3pn4h1hfVw8TCUmHdfJ
X4GXwVebmiOM5ey6oEf3EyU/SSVl/aO1wtOc+DLuPxtZvXOJ7kzLSffF3ErfLarnaKVYjVoGB3UM
mMoZuqAfCe2yzc9NSjU4LaC8bPHZQSoWOFn61SnhT8YCNGTbuw9xa30V6eRv5rq0NSdfk9kh0Vmd
aLPj13F5HnX5Scsy9OuiJ28zr45FChpd0MASOURzaxBrKWQ/hQIono/Z5zy4yiM6cE72oj8mRtKF
uCzvsdkQqwSOzicxC2MXD+AxtsO15vtznexeN0aGbdjaZ3d8zlVK43SxvuLceTM15hLJpBvsDRiN
4cDJryqIkX6cpY3Pc+UxhmNcCbNhg2LcxORdBUmNfl+bgUjCDvOaqR1CMH2TZ9vrKwOdB2vkfB2z
6kPQU+zGTn3M4+JRppVOMb/58eP+qrSVr73ivFIYCrwAiW8bmmTnEEEEpiiyaj3sjYVhEPLzIpxE
10YEKY2+i+CgfTDjiRAw5hZe4xb5Yw4F42iuc3a2jOmhbfWDsjYfJRuUNG9wLtTNF61vYYjZ9E1D
76S7fOovhi5F/yZ6TuUIxKf1VLnhvF+SJbssNw2Gotx1Q+biS82KlqO/JJdgnJwLxcY3RwoCEJcC
j9DK9RsbmORq40pIE0dnhyKA2gtiGoq5pLmWtf1CJthHqmJgpLEkGW/VdmXR0FghzXPE++YVQPR6
Ks3hNR4whvHMuesqLWQ/eldrxnFCs0yNhDokftJz61UyI6s19cKd4m3PdYZWf7XKfrcOJAW6y5dh
BPGf2FmQyz4POfr9nMWrLTs2LI6565rx2t6wiG1eeMa6BklqTl7tsgPLHAXjq3Kz9N1Tmbo5EXby
Q7L80dv5WZEf5sCVOFr2zhD0HH5UTThqMbemlZ8Ni6KE6rjYTzbS+33bdrqfxTN5tU7TN9e5YbyU
tVDuMVCgjK5IRigynluAQ0WDXYSmc98vdec7BdWgY5RPeIR3bHpfpql4kq3yqpZsWtTBXM8ceO2u
K9r3VteOSWd8mSPnpl1ZAZEQuVWdOABzwgawYmElzYp0VwLWehCls1zFZXKfxvGnTEcuMoHCvejW
xQ6bEp10VKmLz4jstdL5FqfkIU3rDJc2ZvdRvgygvO8dxSh3EXgqVo4t+rqUswc+PM8AhDZ4xIYG
4FnvKA9A8TCbLFiZ447NE3e5fI5cOQSit8sDd7MTtEUfCGscD4i0p32k0+MbZb3sp0rFGAhPlr1b
nnKzp+ZhIt/3IPMRln1/J0WCeFrbZ6MYvVqJWHsaLM8t7aEx65dOm+9js7OOrhheapc+VGDr/Hlg
9ZcBLptK+Lexx7dD13EFOybLwc1kqr872a1iYDSvt8O5dqbQ0m5IWrR41ya1biae//6I/7GK2F5L
Q9+lwewE2exq9u+UvVJiSmbKN53xwUb5U7vsEuXp//cS21v4bnEyFRhjp6GYzg03Jvt3oJdvorn/
P7wIcTew/tkSoZj88UVkQj5yVk3T2ege2vpyVtgKHv/+Jf74tfCr+u4lfjeN6ge4/5qYp7Nw7st2
t5Y9UMqbyn7Plv/ySr/ToP78pXz3Sts7+e43ViSjWVo9H6bFlKlVlp/op6G8msZwLE9r+R9V0V9e
b9sb//F603DoQcpgDGi4CP5+fLk+zua1gxZMg/OiEc1oWw9xcrGUL99+f/+KlzZN5V/PYYnKex8/
unf5x2Zj+8Ffmw2aA1SYaI34GvgfKvFfZ7HqT65rIlFyMUxq5iaR/E2nyeOBSSxxVKRp/bD+tH9y
trEpPQjoiY2D9I9msdBNvr9ImMU6bFhdxk+wlXTXtbdO4btrsoodhlajU9+o7CgPDTNK1iYba2Oi
VBsXeDy6vJwH7C6GynHjzsO5yiCYGFX5qYMvEUhFHpAImKFrdIsfTxbUScHej0Eg6ZXKpMPT5Ii0
W2sFkTmX5zZ2nxOwsP7YGYY/q+sFmSiXnSkOTo1DyVSSfbs0z5ET1yAknKu1W1D41fl4GIr+FJcZ
HkZhnlYH6Xss7CtLFxBWmgEMsQNT1c6DCqdbr3bv3BoV0RPx01iajTcRUUYoDxVnPq5XVmU/zxHZ
LbgyXtyifrbm8cLNtcvJLh4Us7zqHYwtxHQ8Vh0uIkUjbimatgTOuwqcLtDkVz2d/biNd2i0bMSs
zSWZtS9su69xX2deYs77cUY/wUUBnATlQzVj6lTsPkyhqFMPAps2utkij6hdQsephnAcNyxMBgpt
msmKiQ3WjrhcEN1cTwUqjRij157TbJdZLVqiEWporlW+oq9nI7I+633zkA/LbnIY6hhxdZ4Fi1Hc
U6kOpTmy5dka7MekjWLaheXFStGVppPZBGwMcIJX2MuNdJFBpduM19fbbq5s+L7FadaKj2QFtOL0
+qOVdBpRJXoEMMa9yUZbvy4i+4AN8L69FgnbSSROlH3WwjGvo/BJbbaytCdh2q8ZVWo/7rvBeUks
JqtDS5Fb1OkeUXDl5WX9ObetOsh6pJkECuwKh9ANleF9vxxSukDUsdmnrjM+aGxZU6vxIW7FdUxg
yTy2dJfqCCRnKcSTYRItSuAdRdzm+6paakXrWJjalTkku86JUf8QEBUuM+WWHrMYd76JSCtz6MNp
VG7TZvrirvnUcUBD3KIp3q+tYPOLuEoore63yK1ca5PwYNmDDmA7AX7qg74ptOpufie6CFo0JbAs
QxW/BvJcJlUIu2oD1kqyab0YM7ewvOM5zO0BehjxHIwNUYf1BbsJwyzuXEC7FuSMjStxrFzrMhql
5pWbyqyIM+4Lm2h7h6p3Z2xqNEik6o745sJXyUC5WBCtRYjXjE3F1iNnczZd2xa3d2wknyXhMPKV
FVGSQEYFUfKmrrlTsk0jRyF+jhDNJaWqBs2mo7MQ1BWV9dYjsJP1bSoE2He0d45TRsfZqq9n1ACk
L08nV6+/CLmhQFDulaJsQjsH5KLMSh40m8BvMjdZY2vGQbIqe/RX2fqmb4rA7jLLjhKVYEpAst9G
XAZjGb0vm5RQX9qraBMXVqgMZxC1ADEU5uLJkxLnH/nALQMeh2sbjaJ0UZBvokXXIEmQMIMHgu2+
upuyMZ657oxN7FgDMhDU1qgpUFKNcVtdKvpsXmnIJEk4bq9Ji1C2KDdo1O4aBfOmqxwiFq+YMbcu
cMRZmztoAJknFG56n3RczaaItSNE3wQiMd848VGEMC7rbR01FpQSgzl9Oa6Q5JU7o+1wjPNKXrK2
NJObLhQIWbRjo50FdduLQ8L3talIc9hOyKzb23LjPiM0VSP1Idp0TJo+nuBE6CF9yZyyf2bPfNMg
znjJXVhEoYVNPPPlsKVcjFDL+hGiMhK9qIJhl0IKcuNE/Mtd+Dm3RaWQ/puaoGaf8Cd6qO2nfi0I
NBAJUBiAmP0HN/ZbQQA9YZsw2swQxc9SqV8KApe5JJG7OAMp5LYB5Pd6qM1mAb7hZ6UUA8N/oIfS
N2XVd1Xjt+Wsqjnb8JO34KCt/rEggOMSE/0ViZt8bWwC7626ND6NidFHN8RKGWXJslXRYfNuc/Ih
uV9ELLzcEg3HBnob4AMpfPc2Dwe3x4NtlupBnXL2JrPBdnSs37VljeEApO/woWYsosTAdtK6KMqY
VK8oO2ctWUpxRBVeSuGNDnlOzrKys3HZ6uLZiLDE5iPck3IMkw4CUWIxm6ho/TQ7fR416zY1yH4o
UDRA6KnGlakg9pNRLXFoZ/Xtio6xtuojD0CA8EVNxgz0F98lYYptzvruZt2tZZHVPrBJQsCon3W1
L64GsdY7QtyqAHVXTX5i+xX7+PuQYREpFZgAyweHtomSCgexYsRBQaTBrIvnpoqRulJNHIQkNZPK
CiFXoyWeUVNokR/R+do4XxgrIg69Wz8GJ9oN9XihudNeQxwlG6zGhgw7xils19AK4X/wu9H46Fkt
5BN6TVf12JSTfEMkDRIwbDMRtEOyt/GsPsCiqGA4NoeSxcVcZw8Fi4y+r26bTr1IWHCQGkX2mFne
jnylw7YDUee0q/a9ojk7x2pOmll+qmSC7NmOLtmxXZIEWPmC/aJ1oljtbrWZ/esbRtVYD6VRx9Ut
Tvel2ZcaO49YzdUX6I1u7Vlj/hkQB8u6boJsMXx2ZbJDNhjDY+eP02H64EiUOH1nyHIEpvRLci2q
yAmpHJdd2ydfJ4VFS+Ysr5bqPvTrfKuN2pvRNSeSa17TMXN9y5RGaMfiS6rPp0mNl7ciaXMPdhYJ
rWQIOGM3eqaKhtbsbolJO9ido1ySW/qwpHws5r0I4mPnJpoB5+P1QJNqBkNCPgN0PjfsMZQfVvur
ltWC0L/+aexJfCPFRg8KEgjz2DX2ppISKEo0a6MB1ypBASl18jkm9h2cxLLunAmVfrZAN1LkazrV
h5rbxq8ctGYkMDJflitSZfxDGulm8yQiVG/KGdXUS9erJ6shxSHTs0czSmLyG3UbqTpCYQJhySs7
FHZuIwEHaM/Tn/E6/IAWBENi5V9lQgRLKd5HycK1QKScL9k10u2LxmDWSTl3wXQKbIHB+DND4dsl
4AOyfpz27UzMGdh9DaZB8Y6T8hWuVFgW5lGV8auRG839qpA4r2w0JZwAj7aS3M/4DlR3emkTkR6b
xD2uMxEusdNcRLV8sdjtEp58rxBEkxjOjeLK20S1PhqxXpfllijCtblaC1nwWjUEJMnejSO7UcL3
0BLuuyxxQ5SUFcPt2XqTozwmejbcRQ7MeqAXO/QHFxZxDOG/7e7PsiPmB399tAUfxf9c192fSo/4
wV9PN+MnkJg0rttMBSs7B9+v7a5ARQR5GaHAfwyGv7S7Wzi8CgZEJc5MfItA+/V0E9pPhoO/Bmmu
BZoHsfs/Od1+nIqZwNI1+m0X9jBQXwFi/sezrY+GTBZrpbM2mQ9qnoL0Id1kXH6+RP5y8PJ7ptC3
8ZtLj+7S25P7TTbwjy9EInCO8CKfzqbJHQyczRGhuQ6nMiWhr9ZjQHvoEAPioG7cZbhs8+bR1jvy
MrFV+BO5umHeafkFGkQ3AKxLOPaCkFcxWaBFU/cyyabxSyfhIb8phhJZ3De8oK83xRn8PLeETVga
fB1yZ8iRJIyj3NQozkVbzj4LPxSGRDYGwAhQ2eTVLrLGnS7MPhjYFgQSxlBji2fFsUkgGVyPj/lC
GEyN/d+8p56+U8r5WlFI1khhOagTG3jy5I+dO15PURmHpas9cpsXSKDHMdC3h8gw9rcEVe4mMTy7
Tvehx/ZbXC6v3dZV5oPNCbWkZ7OLLohYSXfYVA+WG3V7mXR8Q133WFvxIXUQuRZJcoFC7ROZb/lu
LNUmsEbsjEU9N4EybLIX6vqd1q9vGhwRfxXZjXC6nbPAvCTiK2it/G2wtUfEsVf1XA4eBKI7ux32
JthCGkkFbRXpwZMwIPgQAM6QzrxXlqZAGosr33bf3J6GzpgD6KGtJweRe1wQZAIZaK8lKUj28NVZ
aK1Vy7xSRrgA2K6otSk0NHu51iciTBcqmwkM6S7XijOJodnOMHDCl+KK4JKYFDexd0d+t8mEEl2x
zJGUOvetQj2FCO4OzucSGKt8IlZp9WPSIz2jL+7lNBw1Mx8h76if1QLiQDwtT0WamvvZWG/0GU+M
TLKRoMvui1boX3RCqPx81g51gUAUNzHVxLRHA3dbIoWd7dq6tA2gI1ZRfV6z5iWxZeKXVv3AOZ4F
orXzwzSQt2RPvm5EOyQu5FhyieHTEcjCNUS67xWZVd1udRRSr0wLaJWmzoR+eYvekZwqJgiMqj3t
NGfa9CzdfALGhUlkgbEZ0UYJ4wvi52Nqartxpav2UJCPT7lpbKobFMSrZ6bb8TxrKQlsMIBoCzUE
bP02M3Dad6rROy1XPhjM517LCVNzNaKzGh/mWPaYgqYA4TnkkdJEMTaNl05HcbftKsw0R+ICtGWj
Zk+vVmZLtOnNVZyqEWkEMxXwFhwrLwFgBmMvD9PUv5CLTsfnZv6YqeTr1ui1uWWNKgcYY14UinJc
CwRyMF2TcJ0XpIzk2ljTUnrZlBnePGh3JDmzGus/cupUfx5QHVnNy9SFOPeOieiI9AVGYdnvc6a+
reaS+3ZBjOtSvBXifpwk+q/h1NTQDBXqJNbJOhQV5H2C6EDy2ydDHEaWl1BsqbfWZtwbNrgNVWP9
H4/irRKIjud6CiKlQ+09NftBq26WenrtatTJ6SKe+l51rhqF5PAH8u792BFddKi/rR2/O2DOP0+q
v6eu/M5cuT1FOS4EhRyzUTqm30shpJSGIJ5nOU+Lb3tiH53m+/rqmJGM9l49N2F+ZP/kRRfUUkOQ
7Y3/Mq7/4/ycl3dtzh3koCbapx8f4jC+zFGxhvU82u9NdHTV3nPnN6Uuvb//nH/2OvpmgdmSFgTN
3Y+v4/acWSkBvmctvUxm2BPFhxsfAaH/l9f58fT7+dfJ75MzUIMfyJbzx9dpGViZgwZywjIvOgtj
NyOM/7Z3Ej8aYv/zIt99mN+9yJCoqtSxfJ/HnXzCDhiOB/WLEzj4La9KrjHvrgvRsO70w+O1ExTe
9XiV7p5kGIW32WnyDl3QXfYBfzGod/w3fPr737X+x22PrgsdbIUB8I/p++/eXzGsK02Jqp0R+l5H
t6A/rrTn+KQzB/OHYPFOr9p+9q/b3XQwTb+8oE27RQG5w6bvf3sr/+5Ntgv4rwvJsPifoO4wfv/J
3oQf/KWQ1NyfNlK7CpGdkxMd1HeFpPaTxlcIqEK38F1ve63fxiTUkILKUye4m0KTP/pFw+78xPNE
QObGysvI/Z/tTfCfc7P8tlzb9ib8OzyZVIGTlkCK311HbRyBMNRGjN+ifpo25+eIBVSh9PXsTHZn
Zd38oRyWL6bAVuPix/F6my2pU6Ihl8pYndYY7Xm+8owGjf3MgNQOOjpbv9F0GLQCuXa5hdlTFCEK
EkONb8gFUbQ5WjOsrcPmcTVmJ6EhtB9dxBucKtXOWrE021hjuVfjQ4dZtk/n52iiORuz5h53BpZj
JXUP/8veeWxXbmTb9lfeD0ADLmC6xxt6m2QHg2SS8N4EAl//ZvDelHRVpYb66lTVKIkpZfIQ2Hvt
teayzPiDeqyH2THPeJGvapPcBsqBRdA7s3aQCslqEdUtqEdUOrtLlOqMtv4SDfZp8Jr+nBDzNSEl
73DuYL6R2De8Wbx7XU4Fhc4Hd7NQcG3nT6/2Pv0gzDZYlEHCEysOZ+cHDTzViUrQeuUQPban5DbR
WWT+NT/CCuy2wM3qTP7aSKiFeppZmLc8R/e5BTVCgIjAcQodDmdmhA68iPLTK6ztrHESddHsXQAT
fifvpJfHB1OzJ8pJACSX2Dey1PC2ozFf+4l0VinQihR4xaQpFuQUyZBZAcBfzbjIgF3AcTw63vBa
agpG68DDGAFjLJqQEZjqKSgwRN/MPQUXDZVx+Gl5JYYXidF8AWwUxFOnbNtno4sehU8DTPC8L1Ou
V21KcU/TquTWye1HvKXkhBXCkx0kqyXOnZfF9HWtUxiOD6NXxFeoNs1pwdRBIbqRH3AubGVm3lmo
9gwZAVcIzjer3Eyf9FkHm/QYrBwwcBsnpse08Zp5I2r6lg2jvgGOF608IleEIh98g4S+zEjXjyxG
hXdyx4o/YgUXPZufG5H+9J3yIjIyAsJW2xI2INnjG+ObC8EPqcB5ocrylfEahErs71Xo1hAKsoNt
chTy634DexRsJMW3rY5/wZ2cM5+Ef37hRf6lNRpsK0rdAwb7MnVl5jQG3soTCsdxHgPzN7IPyzN+
QHHlnjXfFclwoSbjgVvh68DrkiUhXLWjcW7n7sp0ose5ys5K0pzQRvZTXKL6JF30EM3+ecj4E2rs
2N05DXNrHoRXle2+RL585Ei7rIqYLr7ZYKT2U/O9d8M72WVXcdMR6tRsBH+6lpZ75yh+L2WU3na9
daTqZg3V7RRDJRg9eW4M8R6r4UmvK3ElSFOI6yRdDk5HnS/MpFXeqx9iDII9ndglSTB0PB5z4GJa
gzSKtnxHM7TAKe1+dH15csLpMnfsY2IuT2NFPGGiQhtWmTw2nUjXfGAJahjFHWmG98YpsT7nBZ0J
HlzaIcPeRlHsNhrqfmsnpGcwjB0Wl7NiRuX2sfKb9dyTW7cxpOknLk8pi9YAd7qpRzYQux3M3Uid
aWyS2LeQzUz+CHgm3TrKu8zG8EN4aJmN7z3annvpuC1A/xH3/aSaBB8gj7gOHP8Um/d2WFHol3DY
00nbnuhMaIniUHINs4qB6ybZQ4ox5+dxie8t0333S5RLwJ2XWPGifRwbxo79/c7yCcC0MVFLZfvv
Nn2aW6sqQNt4zVY5xrIqU9vVGuEux+HdDUt0n7X0+qWd9VClE9lUhOKPJjGuvHqatjS7wM9Jn2Uy
gRxPDqUIvhZG4O3AwZfohEmUpQWenfYCvC57c/lckhGKLxc7hhHvTfUWT/FZBN1DqIPonY6kL0v9
Wi9pyKF1cojxLT+iiUi6P/U0nhvtehm7GzctrhKy7g6Z95nsu6VD8E7VnYrFpjfBpRt2ELdk3i8x
MfYrT0foM7L0AZl6EwcvYRti9kJynubY9+CQwE8j81SQyM90ND/3Ah0bWH6EOrXfqqdSyNtGZjd8
HvhDIN9fkvNfBCemQYdwJrOisJEz8xzS8wgdwPL6kwktwDXnx8qGMeyKGw+aQBO61Srgf8waNOAX
HmuZhg+EHkVBqQYSVCbQAp6xG5k2hwpmQafhBT4UgzjzIBFpsIHQiAM4B8AOmuy4aPyBkctj9Q1E
0GgEglr2kXhFugk1OKHWCIXcBG5JdY+lIZRIx2iY/05l3/KeDrb//VR2/1b9v036Gf+XqUx/4e9T
mfebGVhIdYxf3y74P6YyUOKC2xR8TBF+T2x/TGVogvztnLug8nCAJj74+1Rm/yYY05iKTPYRjPf/
yM2ClPiXqYxpEf0pcBxGMlxv+u72ZzdLmmUJd4rBuSR/SNiV+NEQE87wRK6lN9nwnJ0WH/3fNRub
qmsuJvdjHVGgUcUXkCJ8MPbV2hlIBpvta+YXlnUjrZ4dPuN5htozVeF1WQ/LKXbGIj22g7IfsOsY
4mj1ZmfwqjaG6zJyIg62HogWkn2ZdZ/6YeGel3gpeiab2JOXncOj+5YM1X7yquIzAr61qauUcoLR
DcZsb2YEocM2SKe7oVXD0SXawoyzJKQKI1ONr4sLeRtXTWKe7TGMzl3bcvuoUMW2yRy2667thu1o
qvQsBuVeRBHhSDDgUfg29lUScnyP5LKHrrSs8yoZb1C53oB/vlJO/JGRRdyi1JbrxhOfzcBgBb2a
C3nZuj+x3RJsoYq5jflhXUyxG3JjfJUe5MzJNsnV4BC1iNCDLh140jxbmMc3IXeqjzmlN7t3Kt5k
+KYvDMKPh9zq/Cvkt/m4NE27B8VQc9viHF/m1ax9sIhJHTTokK4EvrmofUOw7mUfbYKhPAcjOU0R
df6lEmI55i4OG4jpVM2Gyd7XBLku1qUcKsjWdc/j1Wf0aILwM3ATYx9My4Gg3rWTpd5eRZLBqNc7
aoQJvnfnH27ighaGpoR1Tuxriwf4iD47cL3CmzsPa5ii6KkFpLiOfsNtBr/2GgJCfm9I4dxBZ68+
M9PtTmWbVs84T7s1hNqfFfPg/wAl/90lTfaqv39q7UiSVf/lkaW/6vdHFmBD+ggCrgh/rTiALRZy
YWJX/JXb+X2R5GEWCE7qYKk1meTPBDFBDSHOO1/4Ni5bfeL4B/d2ICh/eWQhKwMIIlrk0w9Mvvov
ruC85BM4D5F/xb3xFA/tVF0O0lbeOiunpqnh0o7Lnhaffl0mZTw/URgNsbAOK900kiUvs9Pfl0mr
NkkPoFcO476V8Qb1ED3VBB9fW4WHUz17J5uQMl6IdKsMkgPVIq6Ig9N0VBgvIJPvCD8/y7G28tuB
9PE9wdRDKGe4YxEZOOaP2EyNK0q7ArmiR4SgrRG/KIpEbiKYBd5NUtCYJKoAidjlJg3SAbtevRFR
aVYPnm/Qssp0Jbc9/QTDdWv0CfAI1ocJZpZ8zu0wIeqd14c0yTLF4tBdysw9yVHcidilecmvnsyl
eBhd8ot10nzY2v/nJeN7SWnMuoN17VrOe1Jly6ozXOpvbCx989OIU3/tsMYak7ExSgaXWNve3KYB
Z6AkZpzKd3UmRPcTBajbOUYkcZ8HkqKWhnO+kf6k6uKhHN1P0wXN3pf8oYhguPUdYCYxtrOD5Ndf
gT/JX5UTM93L9GAuKMutPhCURfDQFpa9q6uccmuH4Mqc2YcE5mM1Td2mlCmJHLzookx8Iqb+Ahcr
r7Y2xUOMO+rkNPZtZI/lenESTIGufahz5HE7oJcgVLN9VJPFaWM0f5qUOgVjTwNwJCIsZf2+rMK3
OKnPXuifewenQRqQY3WW8J5aF8IhSb+bI+OnCJddYc5HwJJXcUfilyT7pukW71BW0C/6qPkaavRk
L6WsajTKD5mEQIRV9YOP9MBJePIPnhYs+Hjd4mkbVgDlrwaRGWy70U0RcvyJoWDRU3UXNXTJj+wB
MHQ66pXE1K/5vG0SbPiAcGjSiofTwHdw6McdRTdUGgmcpJ7Z1tulco/lpK7nVjxb/XAF3eYhG+p8
nZr9UxkndwkNapjVxr0Ve8aRUdNZTUl3p/zogSju7dIS95AW7yOaKONVmEKUtrroZoyWgyoi4+jM
xkfXGsnGdJt8rwSj9WKFBS5YKsJi0e9pKXGJfKnlVDf+daZqtasDokrNWDlrsPUD0XF5gSvzJ62Z
p5QyY8wt6aWXNVSfgUynZ9Lam2FRQA1twV66pJes7A2mjdypcLiGXfNjMhJzzY/6tMpUiUl8dL5K
xSswb+q7cWnWw+hj86AH0/dnQPYVHPchnx5tuVQHw+XTSauBXPVF+gkyZmGk938IKe5tLi/HqSYd
UXT2EXHL2Th0EyQTUX7P5bRllq67k212ncYewZn8riymqzjhsy0THyZhRjtgGd5Q9t7uvAIVRDaS
e1o3674t7wFG0oRN0vyKbPfVdIoP0xHHVjpsJzGMosiwP93eeOphdK/Lsnwq5WBv7XC8V4oChdQr
X2rlnoVRgxvSNggaTn139m6dLGh8/DbkTFTSvjuSeJktAHFq5N8o2kvPmIftkqMJTct759gvLVPq
ITRxUzShf7OMEySbIcGe2RHFx6dNuxmVCFDD+qPpD/dJNZCoa8zioMya+KJPUTyQhdfGc++HknFD
JgFu0TGSm472EZjZTQVEzryacIxuuUV9TosKN5VgH87saTPRVHbI84rYj+GSJxtbzCwmOhOJ+w8O
giXBNiisZiTFVTqLdDX17cyh1k42jt3eyYq1SwX4hK1l2uYpkCGHBNYQE45JBSV0Kksa8mDyqMro
tazAeZcGAxvzd7yaHT6tTZd9eH6FdhRly1ZUdCi4jjp4Vdce68bd5ZiKN4nvFbsgQK7iebjsq6x9
7Ug6VYSxYhnta4SG28RIaYirU1plemmuOHyGu9moMPLAvLz1KpsWs9Y6trFzkREV2w1lFuxR92A5
Qv9YR5NSp2QcdS8ANYFkEk92QwujwAOKdSOuDklVLY+LLPneSGXsBJ7vlYEksYqB+oPSmo5OiZXJ
sgKcM2I6x0V4isLlbKRLuQksVJkox6dc6gneJ2jkexfQl7jLjTisUS1umjF5qGzOpWSbil3jsD2O
idGtM2f48Fp6EeDAB/s5YKxTFqsC6D6o4EVyM6S4BKLF3OR1Ou2bZjnjgLsA/rjBxXMzdfhKnKw1
MYMhEqZ+dxWK7CPAFF/0EWOiHyKueYaAnCkg7QVqG3kxxzLCbyvTlE/WmL/VuXFTdOl9DpgJnr7p
bbPOohPLbT4LDEYx+CTwXy72uNTll4T1sJGF+dKkaEbTSBlBOGLYtsxpI9suotsih9WE3S6bs/ip
TQqAjdGLhwS0svnR9YvyCzjGi3DorkuGq+b7hjuUH5Gww60VclANy+KJNAwOhZQLrW0Yt4vZmBvC
VNSUiQj8SX4uOiYRl3eqMCYeYJb1OQc9WfjoIqClbw+j/4QvLNRctBVF28+l6q7o6cQGr0qm8cxd
8w09tb11FkX502iCLzkjennovlVrHKI++8SysOvHetj3frPtG/4qTWNPZmZeLPG5hIPfjTSY9flb
OGbvSc/Dl4JPKAL+EbyJ/tQEMenE7gQNCb0p59tToi9mCNbzwuc5JTW240j06ZgACjFv3KdZzN/M
A3wqye13VJC6sH5JBkDhYnJ7ZQI7pjMNzkw6XNq90yLqcj028N3aYBWF8tly+MWbuV7JKDvnaO17
pxw+XJIOsR/hKcNLbPolfurqyXJ44bEE7kVilVQrOVfcwx87Sale08MiNpr2pknDC4qc8X7g8x8N
zHJ+JghAu+UeRgJqmp1tPUuWKzQR7McQo3eAXVCsF2wJxDDuy6nltxZUOCSZO2k+SrdG5ejpoTv6
TnKSKvtKLJHuYhlcKyvb18u+D8GtBvtOVRtrvqB14yEpJowqrluuUQT2WTaBWPUZZJzl3QnkzpPx
e+ClF649YnCLzIRvVvsG+orYrC1pxmvMqTvz4/MQK44B7IJPVkO9o0fEuqd99eDExcGGJjMN+SYK
nOa28roSFmeVehjAXWEZzwn1LFQk2VXfnXAqSJohUzkF064uJkPdKr47lSlSY+NG3LzjxZdUK4X5
qQaEuppzQp0oZfsljJEha2Nn+Bk+1dyQu9StN26Zj5toqn/Aa1i2VTC1qJaxtaXZ69Hpqnvpetgv
HXgeWffsprRvlwxeRpQOu1CEx8R332jfvpnTEHudjykzSQGRMXdRO5vTkyLkZK0M5FxeJ4RYc5MX
G3ulx/dPf++YzccQf2SYXLQdNO+icTfz4F9NQ3odjv4FGka4qvrszQoVTXruhbUoppu6eefdAkOI
Xsq8CsgJp+5pGM1Pav6q/ZKZJEqm4OBO4w2ZG6rEE4yIrBIr5hq5gR/3s5PlwaErm2RDveza3rtw
2+LOzqct3V7TWpS1PPDcvQgl5g5FEBMnYX8gIgtt1OYfCM12zardr3qKELuedDQkn31jM+2GVv6a
t+naTa7zJucJoFZydo6ig1sTBtOV0VcthxU0EpH9hIbEtm0RMlLUCMTmFc0bu6Karlz72uPAYCzt
puuM+DSZ9XMu4+OQpC+DPzw2YY25YTG3QbefPf8eL8eaufdKtfZr2lAL3lOz45TxkZjqcqRNEXBc
9phoQdJnFtwmQ5OeeSq8umU9PZcL/V11m51nalE3/ZTVa1UuxPLoWCUy+qOZTNwW+a2U1VveBASX
euQJFb4Uor5IneS5lFxu/pUhv2VIfSj9+4X+8u0nkbr/vAzrr/p9oQ/BftsOdiRb4M5AMvzDYmhS
ioB1HkaH87/gs1+XYf835Eea7REbA66Jmkn26zLs/YbHA2s9pDTHogDwHxnoXU97+/7vZRjUI/Ej
PCOkVoO/0s3ANqreHqz4OgrLna/fegO4M/CN3RUureeGF2MzD+Fm4VXp63dmVcaUFo0HHDCfrn6r
ylDQCSP7de0X57lmlFjCDHrEZG4sXsq6qWY16Pd0wAubyyZApDQMt27afFhjk22GYLwaQHVO1vSC
Dx6rcr4Veg5I4+TVC4uNQW3aU4ddn0xbfo5LGa39CJMZ/9r1bmS0qPWMEVv2C4sa1jU9f/Ac7De4
r90dasUXTqNPpxD85Ou5JaD9eE2/3H2dJ7fMdW8LIw58RYZfPfXUgi67nEFI6Ilo5MnDYM4Zuvfr
94CxKWF8KnGHrjqAmZtRz1Z9Y92QY9pkBS49hq9MT2FZh8+uZzATWXZjVs68ovN5wDvO9FboOY4U
wsQ0LT8YI3q6IMYUzllQ7JZEqE1hZg8TIyFvc97i5oCaSwroAvbFfc8AWZYWgG/Z7bKCpcxgyEwY
NpNhPjc1+5gvEzApDKSxRTQrrplRPT2t1qPgtZL2wQZdZnlEwQAMVYuR242frWM98wa2l+24wfyk
9F2dYhhtvOJMyrf1tOxA59zSHnzh6UHapRdYkTC6VXrKJiMW7lRsMnkXZQiMiOml0nN57RlEzMjb
pz71Xe2rMhve3zGArqJJqOWLfd4TDPq+nvhdxnBm/4gNogUVofcCGsE+hjBhEdE7Q6G3h0LvEZi8
XwsWCw/K2SUoCF47eutAatlleg8xWUjSyIKWpHcUm2WFyrtk49vTvMn0JhOMvrgy9XbTAXxcx+Py
QYWDw2SDjXTU21Cm96JRb0ip3pUWFVxiTkW3mL1PKAsgFkLrqpLQ7ZyBjzJtdvMmnsDoNjGNnJbh
3dO8+zrpHS3l9kywwi8OQz8DpIglPk12uojlztdbniwjKOBxRX293gFblsFIb4WtW7gHHH8vYWa/
0/O29/UGac/9pVEa7B5GAHGCNXNh3eSUjflM+i3n6j70bk21DO5Jx7j0lioQhOZOkbaULNvJ8xzz
M2/nAfDAcTSZluadcgbnxpflCxXmPWMOnLao59rZCvU0x1p/w9G7nVOCZpIJrK4xSuZ5/RzUo9zL
wgEYDvkv6mj6oP/ZQ+hnTIETnnFzqx6WOrpGsLkY57DfgAj8Sof23nbICtrBeQqQPIbszNlgb1MZ
mBjJpZkRK6gV4D23GFFTOvfOBHSGDNJOu3a2zoGDrkQN3hE8ir2ldfQFFs2hl+7ZNMwvb/B3fQ7c
pkY1q2mfPsFRfbOpEFm1liYRz0RtCGp6p3QZdsEcz6iHmT8Mz1XcTjXJD+z9MGW6+t7B4fZEiZ+k
k9FmVvDMfupA2gXiNc5rcRr6pohvuMfHwXFoDfc1iklCXmYYM/dlmGNWDqNni07GrZhhLloR8L6I
z8vBJSuML2JBtuFztxUNaUY+hS+jOx6WvLR1RumQeCDxfO22kGmMIFBHt8GyXM8VcR6i+At16uVN
4cX542jxhCublMdTXtjbMc6+4s6/7TyCCOj8O5X2DQloYF5+49/RbvmzVNNTKxit+CmGadc9LeGY
rFpzuQnd9DzmSqybxnyzZp7jdYXQiPpqSatYD0PUH9rCSPmsRdcqN+21GnBmGkT5iQNLKz9Werzm
hvLm1xPoQT16+8zgaZ6928zkdTa/z8zoFRFqskViH+nxnSZSbkVM9OZMdqemheIQCBoWiEaRpDCm
4DrWy8DEVuCxHYBAoEqQdcFnb7CoqgL7wypR6KXCLyU2DdaMRC8cnV49Kr2EIOJgYqVmfNALimJT
cSbTWpeyBqLMFpNmWNmLzr/Qddm1XnRavfKEYD/axCY3zDIkYiSArmM9Yk/KvfqmZm8ii1atadV5
zoLpI9OrlZyLs9TL1jQP5wiokWALY6K7Vnots9nPGr2ojVmzS0OTTTFAjmKVY9+LabmurdXInlc5
qbPGYcKZudhYbIF+mDvwv91Pb6L2W+pV0QmGc6aXx1KvkZWadx17pasXzDGldiFl54SxxfOZYAyp
ckps03u4dm8tG6rd8v8N6mJiec0dvtVmgGqu91qfBbe04s8sDA+Cxbc2+KsRq/AwMRSzGpd2sv93
nvyeJzVF5e/nyX3xWVX/OU7qL/o1TtrWb4GAywAmhcjl96Xn98SKTV0WEyNpSCFsbst/nLRxJ5rw
0353Gv7ppB2SWNGke/7DMr+xDv/gPmR5fz1pM9CilXn8mgyv7jcl4s8n7Ur1vj2PQXhtlx2URWEt
zb77ztg5Bh2YW5GUffSKc6e7db4TeaUO5y2k9LwsvOiqMEd+yN9z7DZ6IJvsId4p18VfQfPcrPOI
y7GanXY7TuEtZ48vPr8pTCa6QEYbLpNNwCBF+273JjDFAKgiNYQHIy3eRQfF08/qiziTt7nmMHpD
R6Wvd/BN2pI4n4AblWtYngauELUnmXNlo6ilNsQbqTmP3KcPSpMfK8N6z0BBgtimjzDwfzRAIpdO
frBfX5KQLITGkXovIbn3QbMlsb59UtG9yTV1MgvhT5ILa69pF9xhjOc6PVmHFljlpKmVUvMrc8fo
iJTCtORhwO+2Mpgl6+WZC9RloCmYMoOH2Wkyps2JKXHhzsK733Wanml10MEygJoBYE2cmvDxNGvT
ArpZAt8cswwVub6eNZXTKCOxKzWpEzLxUWp2Z5gCgrSYODam1PghzfhsNO2TW0q5BslMiEDdliI/
9gAlVuTYfqpyCnhiQA3t6giLIQ9hJ1ZvZGwpSrGsr8EG6g5yVPKEyTSDNNI00umbSyohlNaaVao0
tXQGX7qAMS2NSv7g+3kexOtSepcufWgE46HDZCfqT+6l5qF2RHX7DVb8lvu8TQ3ztkp10WVTFHVC
fH3Iw/ZqjoV/LPrARUGYkn0aBAQziO+GlzghkpOf19OeVpr6yJ9LY25dkxIbysHC+wgSaLgulDVj
BKw5L01CuXucEG6xKUZ45JbSBDbGVlp0qTlnCAJKTqGQ+ePfx+H349DhvPz3j8P7t4/urfyshv9y
M9df+adnogmlikZ22+cijVf6jxWbxyXuao7f//NX+KpfKzatWw7GaviV/Be6KTv7rxU7AIKjM+XU
DjqhfqL+k5u57f7HM9H3WbH5txOmSyTwryZ+KH9Vv9SzvJ4LzgzumDY7Z0qyrQbelf487HojR3Di
cDi9yKw8N+SJ9x7Be2wvGFQihXeNQ7Z1F8felgaIEjmnIjTLhftsDsubiOyFpvfhU3ptv/WzXP8A
RPfOaHiXFCQnCGzQ1Bpuv1cwuLZZnDwNnLYlyiUjR3CCQX1yO+srn9WTTEruWPl1W3RwVuxDyIF7
FWYlRpWS3tessOjZUjSVz6bbr2M9KfIW+Mx891F6xms+GZ9ygrSvpYL1LBWDYF3+bEsm7tw0CDpN
I8M7OWuZU7sxhd67StxcZ/usdeFT+zeNtEOPqn5KyvrW9uKtVyO7+QpSZjsOE6y1/RgTazqSK75D
DLzkNfK5AKlT1Y1nNRJBOb8CPbKDF/hcMgJGdvSRVOJhIn8MN/pLxYT/08K+DTqlWAHR5aa4f6yN
wV6pcSB/XCQFqkHB5hViku88BGpOghuomu6hD0wcowVgRrMa/dVSsx+UKXbzPsrCrTFolDtlTzlR
q1VpOPtxNLI7QXxtM9s4xzMF/c9KES9EbTiXAPrSlV9LID+ch060loBPnfEDGbW5H+f+SM4o3XTO
ADNcFwON3x1B1bef09bWzqzXLs/i2/FZgOmYHQ92wJzSW4YvFFboYcYnmgw6llj2g385REMfvnZi
SX+WRU2oM7SomkhdK9qJHsqbb4IJ6tkA1rGtql3jSoIwi50+0svx1OHNR4oNX3MI6jxMGWKlm9kb
oxm5UajgIaywnpeCZ2Q07gtuWAce/o/GCP185KS4naOl2k+yiu/ArLQAC+3qutfnF5M/S4dX25yo
mtLglGyi69drTAXzTaXwAgejbEBuTu89Cs7Zz+0J723yCZhg5tCgTLg01pUR1BFNNjTllgYHCD8c
xkM3Rt3B7rzivvXa4nqq/eoht9VATDuFwedSwxQMAAY8/GojRq4YFN/sVRgH8I9zeBupqKjVtRzo
YjScDnE8r8OtSG36Jj2IAyqNvNOg0FyjZt0mlE4pF7ImnEGsAUgCsYv4bc+ucTSMUL7mmZQcPtpo
kwZDReS+zj9yRwClGmULbDI45TKBK00JybYbwoXaZ1pEuGCG3a10rOgiiZ3gMpgUIHyfrGthsO9T
u7bBf9PtZjOYNwPnh0sjWGoE7xyIhJiX7b/vo+/3kc2j++/fR5f1f3Nv6a/59SbCVapxZxRP2L+S
4b+mcxJCHo5RkzuQhzVf68B/ehNRSMz7ASnYd7CW/vEm8sE488LAdPU/2LV/ZDglzf0fYi/FlBCU
oT+z57Ej/F/Dab9w8BzF6F3FTrVctLhfm35VQ6Z3oR3F07KslmhkYzdsj4NsgM+rvlRmiSwxMhID
YBJmcRmMqQmgy475Z3C6NJXhbiMDrGm4JYHM7dRZQN/PtNBkY4xHC5Fqs5gx9OFV7hthA8qkI6wT
TgRsbzGxsrgnBrh3X8DrHOfqmYE7XWOdPQwVYPdel8G2Ol6MqPTdsdvvotF8yOiO7Sqv2NYlHYbK
vKt0vaxlzRTN0jjb1OW5aqMLiyZa1TdgyXQ5bdNwk2yO0FvoiYob/N+6yDb3sTcVs48WpGtu8dfE
PEQZtmnA5WBNDUDsYFmiHLfRNblm6DcbXAAn3mM/7Zkq3XScfgy6XNeKi3OZmmID5fOm1wW80puI
CehSXlyzA9n2Zd7kg1dA+6K8V4lOwMC3tyZ9k5tMV/xKun4NdyZ+C+dk1GmqMrJ+zjwp1qPoQdi3
h1RXBgPOvcgC5nZ47E+j4HWbtfKiH3PKhnXt8FI795QH7FqfQmJGWbAviPtRFzVHN2FEmN36KrPr
u7aV68hvzmDe1gn0Shg2sKrpd1Rj8e4qvDldMm0GjDFTkW/IAxvrqYlP0KK2XUPuBdsBx9thzlZk
kXOS6z4KszNclgYUXJId2QUiJA6n+HkERbfm6Ym2oZx0Y3jxzexjcXDDYW21w2kC+ITu1D3HNcRJ
mkrPSln3A7wxby6wFxH9zqvsLq6mi1TgbPBTLvG0OqGjqYI+SSM6dHmUrM05vDFF7W+D1vmsC6s/
WE3dw1eur4RVDfsEwGvl5I++8J40n69u2msjgVGApkKiqiAQTUgKZb18whiyUUxQo+m8mM1Yb7hs
8wIr7udcHNEICadFCVTwIBFr1WcoxKadnJumszZOCAUokfK58mF6ZfYAwA8nhds/uH3OuaLDxZJA
pOsFAFviIGJACouokoIfCgY8p5M5tzY1cLyNM4z3eGNy6hctkgUqPsa9G7Mxcm73gDIH8WsrwL/M
KQCyMEtbujaJx7vm+DilHCqs3MWv7SUnklQn0w/faLWiRCsGC2fX1j3D1y7t3AcO+nvDqW+kmcrV
nDr3LgejTQA/fYXTDG+Ve5n6jbF28nQ3p8Vz6vrVvrLUWxkv8yFXMUdXvMhAVbB2Gzn9MIwYO1Jg
L1mF2QrIALiDGa5DCOmOwcPcw3DrLlIqOEuJChjZhbuFEYrriZN30atry3I/O0Ckq7prrxrff6zb
KDl1Jc0pnjV/EkW6y7h0rzy4EvhgsHb1i/qSE24cOJHVJoptF+uhH2hUhbXnWFCvo2K896Kcj47p
0App0dBQNyn0NlWLNULDIY/nNy8Zqu3g6YI3L7zUti3LcD/zYXY29UwdGl1VfKBQl2mV/+pQm/EL
HtRSv1TfMjR6NH5LrB4o1KaWqoPZ4F41encujKVjPFAbvmhp27KzSwutW6F5A1E7Qxa5zcBKlEV2
TIb2PkpoJNFiOaeeC4V67hnNQ6PldEdxoze1xB5qsb3Tsjt9LqAnEeIzFPlKS/O+Funx+KyElu2l
FvDTST6FWtIfa3wok5b5WZox5iL8z1wAcn0KKAOHtrrZ5jrDncCWn1KfDXx9QKiwvSXY32btg7Mw
xBXaGYcv4anTXjkH05ztis9Eu+hUjtq4YKwz+/ojxGi3YLibLD4MDRa8RnvxJD7YjdD+PEs79drS
v5k4AMYOyU4jxs1XYOsT2Pv4rW7kmFyDnXB3QjsAY+0FXDiK+bzcNwmJnFH7BccomI+uthA2ERCI
cNl3mAtLCV4o0n5DSzsPEUUeHe1F9LQrUc7dFP5vgP1fl7vFDfnvp6Rj2Xx26Vvxnzqm/rrfJyWq
KzQmgczct1bJEPX7pOT9xo3C8pEQv5mxfNWvSYkqDMIyZHqAwMLt8RBGf+3slHOSlg7IedBHwfX0
H/nc8c3/ZVJi93eFTVO3YPSCt6x3+j+BZrkoddVstOpydvBe7xikA/+y8XnOfJnLUgmg/nQa12iG
+GSXQ+3lep+N5gyCoefmd5GNeyUgkscGNPlq5fx/9s6ku20kjbK/CHkQmNFLzhRFUdRsbXAkWcY8
DwHg1/cNue2SszLrtPfeVaVNm6aIiG947z7HeAt1pDbsx1+A5dymQZpfTynAlHp2jI1p01jD6GmP
peN8iyoPtntukPBZkBeFKJEHu4X/2Tnw0tB92ZczCpK9VmQshqFhFNNydNCyJ0nYXFXg/OCW+5co
itMDNrdi1VZy2jS2Xy06UiFpGEmlhHuDRho9/5U1TBepHV96ZcfRE2fpJtV8tC6Mab0F+2ASr4gN
34w+21Ozg0BakyawFCllUD3CXq+9Hi6KpX3J6CArZywu3Ki/E06kg9VHuYRCqmJWMGlXTeK8yYJu
vS5dsS3t5NucJM/IoLBYWoPI9zIA2lZZyXSP+i9ArhsdQxht+z5K3rtwNr4YJCafZ7T6m8HJmDO0
Gd5Q5nBQ0PzCP+A1FWtH6tqFVY36pR1z38e4hbhve+eycd2zB4n0luJpL6PpTqvQOpRWYW11rzy7
DhcHHB+oa7rlEIRAXsicokizdMm0d0q1SxH1nINTE9lfqIKQoOtmeuiCSXRb0qgmxoFzw9blFPGz
G7BTxcdJkA7BUcbGr8Z7rEtCQZXtCl9PjQ7/w41VKWOWZiiPFnlm80WjjFvxh4ernD2kYj4fQnDy
UY2h2kp9zlA/vTQQ0Iswn2+toRHj6k+P99Hjif85c9wzTfiHk+vTtFHYxADDesCz96Nb+3lyMVP0
dR1LH6XDR/Dgz5NLNXIsbGiJTPyDrEb+c3LZYDRJtvEYDX54Cn+LGSacX5Em6E5wLZrqPQArNsGG
0E1+PrnMKKtEOLjdVZ465NSWWbway5zUkvNkDDOiyNiPgtlZWwh0IiyqQyrXtugMgWWVkY9cWlNs
ZgfMfPXErtezERIyfVGNihidmqQrO4vMLcwuvEALy8piQHhakAzMgQK/LLjjnd66dvveb4qVS74X
Kde2LdsRPUSdtC/uDK15xooM4hmx5Perl8S1Zpu0lX+Maj3ah4QiLli5Wvd1CX/Sw+9bc7nbCytN
CLGp5XAgS33aoPUortws7W9gD8pXvbDtCiJDFL5iXxupIfVc1ZcloSllcJVotrXBnR9h/xBY5zxp
TmfhGsEeAa88poUrr0QydCuapG+lxByENNRoXojfQp/ToRxdRuiP95GddHeGrFGaMll88+bM3w5R
JsmagXiGkXqLSMW88WadzHDlscl6EphRgLNXsbsO44ajT1cN4AqqraTdWJVA8EhqrZAE/cAvnYdu
Vwc6dmFRgTjz/ch4NueKHNWZsnGRGr3xmlqtfejrNtxPLEGemCGZwHUNdOAVERmzl/envk/f+EiL
PZ2+uBVtrGfLBLTd0ZKI5G23jK4mMJurcLLjKztu261P3t06mX3vaq4ZhOU1HZs/wSaNWOe8ITDN
LnFwtw99Tthz6ycFbJDYOJqmyDC9RG2KLSSgrB1r50z0jLbh7Guv2V1XKzSf5YHh3XBo2/SC8TDd
r6d5G5Ql4zdpRdnOq/LwYixji/eWuNqRyZqOEbYF5VZOeFC6jiO8nrxiW4X4UkjjnRmaN2QFzIYf
XGSN5jzgPX8EDWJcGppXnXj7wUZLAZW1pYE8vWn0E6U22C6YlvswRibA3Dch2KWabqLGkyvkWHS+
cT+uGYcEmxZ+SfjnZP1OG1YzrX+vC7/0ry//fbKq1/yoCdltw6hRuEMORCZibGR+nKz8ksNDYQJC
wuXjuJ/2OMzVTJ8ND/MsfoursFs/akJPGSbhJvFLyvn4e3scgtP+VhPyd3CsOxbZ8GofIXjrn0/W
rKPkG8tRP3UJImy/sLcEdGsHEiCZZjG/P9vwYHY9XDlE8kHL2RuLZYcxSMXDLGQx1gu+2/Zl08z9
wvKgArfSYZpAC+WN1bGZNbwBurXovDegcJg1coTNJCivZkfu/cADTY+/oYrJnW6DbIGqmjQijkhZ
NDuLGOm7OiQiKqyqN0d6h7Kv7hvBLNoia53E6votm5Riq8VUyMm6wwBAIAAZUsWZFfNWJJZ1rZnO
IXAk2FgJNi6XWrDSBKDHLKvhuXYvbh++BTnCHS4KnQywqt57ha+qOe2G0IDs2u8aeO8Oju3M5MII
JvKkgtixiK5mfFEE03U0srJufPNrGzvnyK6vvA7gYhWlT7Fh3nWlDxcxMd4BRI5r5nD3lELruG73
vaNFQCHFLqj9rzqWw0US0av747nQk2PrGF/yIjxwdN2JBNm+PYOUaAz9rnITmkR+CB2OnmXGXh7N
DebxnvuIYMsnAjLTBfNBgcSNBtPSr9X2Gr1QfI59JYjPpScvpgkK5VRU33TF7nWKK2+ODwPBqHsz
aRnC+A0nESPKucnxB1IwJ/hUF26VrdwZPmWtaT1CcuqDBltS1iJoKpucgE/SaH2VS5sVoP8HJ9kT
AetT8YKcrElj91Ukq9YzxZ9jmwYaVGA9Gd+y0p7QdzkqCTcx/CvWUWRFFOzJghRIfWfn6abIgO+g
TDtFeVMtdQJ2pUraJYdZX4RT+S1XKbytKC/6xrhCpV8QRzaT1BtbDFFVeq+wtW0yEpE2EOzrEPBL
+Gu/bNiI10aE2pCV+aIN+XAzoIlYJOYHN54Qq5WvDFfh8JnWhVVoZ6FChaNp3RMy3NckoxWpA0Kq
a8w99fu+cvKLsbPXFhHFk0hPltkrj7rvLHRijHXijO2cyA4W+SU6PPe+6QDstIQfBxUpyJrXI02s
qdp7Xb/JiUoG77mt0+QmJgoMS+8XqTev7E5KuhXRrqZ2uPIabBSNI7Fu6sXR9vhwbUu7YHZisXSF
OIPLgVCO0L3Ua/GGwwqjL+HOFeK1xSCqTdUy74SpUK+mcdinmK6WQ6GTeCFfIz7rtZpFLQsHbk5p
VE9mUR199leOBw0lMlvaqeCt0+XGbbD7a5mslwymy2Wa9AcajHo5kXi2LCb7ayfto6wNdlleclkH
ZG3FKGOWqYHSI2qfvaQ+5HlxL9L5QWjtmfdH72HZC1/6R6IwSOsw+lU4D2T4ifTo1UpWOOs3rW8+
T51fnUKu3GU8auOFlk7avsxlA348vhzS+tbqtfeoSm88p0D8x66O+aSptKouf8pM87PLEVQ2QQ3I
0NSyfZ4zttIZ/Xum5SxrqDMLrXTTJX4FZKUeoha2BSfS7pFYyzIjZ5VkOdSW58RALhzYOjWUSP4Q
677fsyZrm3+/ZxUbZfFOBuU/9DHqlT9vW9wH2MFMyzXoWVgv/XrbwhvGgvmTgPJjAuP8hSuBucj3
C9VlbPLjsmVqw0DGZGgumJqoBddvCMlMV7Upv/gSABELbA5s0swP68Svl23bg8gYUk+7cu08gZe7
H2L4RkXm4EoHRLxJ3WmnId1eJlF+ZjiDfTVuiM2p00c54eTPkg5JFsPzKunJQ3GwcRlyYqJQU+VR
6r7KHDpBMj5Xen2cevLQXce7BHHSrC1EoEFl3od+AxOe7VLYZTcjDvelXZtvDonRg+u0y8DUz76u
McL0AhuvYPOoj+43QmzGTSKr2xxblity8kNTMjt6zZ0hDddPVk/seywqVK0MuRNua1i7GgpYJtIC
85dULjArMCkOejTQHxYxW7nFWKol2oroz+fqw0yWfBjLsu8us7Lt2JvXiV4x3xRWuPLZbZWl9DeV
aJTQasJxy5KdKbe5HuxCov1MrvtkAhJasEsqPVAuevK1c933ACUhFg0g7GZ3lQ33Rlu63OTMLaSP
RQGH2K07inQhcuM5yVokW35jkEwD678lCMAJ2vai1otXromEIyWLSn2NcpX5lpNbxrlO4UkXkWuv
5ITEN8I07JIm045UPIhKngoIhXnslqdqHstLNCrTUnP9deFCPgmrfZGVV62AFdBEm8x3L0Y7eKIp
Z6GYmtO+xLtAAabvcayyluHfvf4YWAUOiTF6RtQr7+fRCwljHGKX8BU+voUnCFAMpJmfAk+/o4xB
71ohjUMre7DyGJR+J+v4IW2hxq2bzCGkWkiSnozprLeUNboDoCJRILim0m9D6GMB00POSfNEetRG
G40dQpUzPc0+yOZtOvTkpMwtGN7wrvPyE6mdW2M0lCiQPFBcvq2sFlFi93srTx5p0+7o1LYSAQY7
NWZBTbsb+/CuYoXbyPi2yfsnEml3xI5iM8uiaunUsAjn2MRIh+IbuqqxGd3p0ilKHSQiwru+T94T
FqVDw3vTptBem6aEYW0Ei3F2t+ZsPxvUJ6QlgtHvs+McBje5XVf7ye4gD2nWLeEHr4XWrvP2rumF
II/CP4dRsqpInS8qJliOwOuTyFVSJlsml8QhJcTUmuYxbtPnvA8RcrvOhsEXwo+6WkVVGCu/xMw3
VL74AVA3PZdUvvMV3shTpHuPBpKLstVAhIwrJimvZqU7Kz1IbucwUpS7x7qRl5EtHrJaF2vdIIGh
UL6LVLsKdH+b5MVVj6tzQez86xBgIjEJcvfDiZ57yA5Zxm8TPjmdfQcwMN97YX85dMWB3zmvx9E0
L9wSegSa08zYiJjlijNrRX4Tsew3oF6HX5LYQHaT4N209W8zVQvk6C+tLzfSH+h1eQum99x5xRE6
h0ZL261M0aOix34SVk+UytHCUEIpjJyXntHfeKJG6z3KbNk05lPcN3vZNsBNBrzNngVpINzTsZyN
wo+X0zwc7UFGSzK8tkHReHu/qXZRSsiwlz4mRnrJ9PneLSp9gQb1pousFfj1Y1TUh1TvSQC2CPfl
Z5FXw5uV86hBNGGLjGQt7/fhJKAxxcMuM+pD7Rs3fEkuyp4xbtR0pzbQN4PLkq5nC54DcZ+hr2+G
VgeqLA+aLw6aqePnlNremqyd3qhGnLyjWe7kYK9IrboE4bbtsvncDSkprnnNQKHBocxX1kMmlLfZ
PU6YZ0glJ1KY9l1jvbcWibWlsxdm9DC08a3ttXe2RQlkO+QR2dHeHbzXVK/2IodFMZMjjI/6cuqK
i2JWlgQhjxH+8HgunsfMvPXVhh8PEBrZWl8mjr61hnhTVNUJe+khdr1vf6ar36er/7M2Obw3/6Bv
F5+qEhQ0jnBAHTtoJr+PUH/OAHQqDJTvNtWH6vQ/zQAYodJgw1CjYGA68HkGYDFdZQqgu2QX8CCa
v7UX+hDI/FqVOB6UbdTyDgBs2/0bZNsVVaiLaO6uXHpHPBRxA2QzMmjzasvf8p17aYNQburKBihP
igyNRd56PbwNNzaSL7EBl+MUBWWP0Q0jDpqNPpH6GgRn715XBDvL60JWVxUr9juM9FAMI3N24SjO
LYuLKHnGxcggtyCMpdIDZrYh9XQwIbJkzGtYc7TpPiZWtQ2GDC+dlkPUFJ2btV/yCFhltRjBNWJ5
MXunjduNUYyxuMhzOZe34cyCYxsTakQ4Mxj8rW+GyN9dzP/j0DmrppTJll6hXss6ENshdcRajvW8
1enoHuYh6tFn+JMzr02qt3A1Gf48rrMeKgCbs0BDnG1VGhCTanaO/dRG5aoySuc2dhxKFDAaUALw
D2wFw4DuNjUzuLFYJLPTiBrJ2NYu/x8pbPk0S8tPFhVMzYS2OyrdPcQiU/8jcvvePgh2D//ePhzi
Imz/e06nXvSjc0DKZrmWzbMoHDA8ajf66RnFSoj/gw2JwuD/Z3Xr/AVT1kMH7cGX/XgOf3YOagHC
U+sa7IJdFr+/tQBxmff9rXFgRQw/DUYjISy6xeHyeUonArMjdQFjJ1l9ZnMPqYtoKzrqnKEO+VEg
rXFOxMfWS82nqnRGnCIyO+uaufTBAOXgS0aYgZ2r48acPEq7fV42eMTcAVwwCiweqLYNLqSZYQgr
s3JOzyUssgpXHGjZ51Ea3ZIp5tXkFPXKUgCz2R2BSdXRa+liSjAU5owNN7JsXVuOEND8IqFVNtJp
JaGjRSJ4YmYPL63UE1Aw2QdHLSVED6ExcLXBbkArkUTojs6y7LnSjpY2ObsJgHFsxQHk30yu9Y5I
laAYqleDsMJwSJxl5+TBUlTFpkUfvEQ1t6sTbQfir4NZWLzqZpOwtwjMFeCO+zjU3oxjVUzHEnn2
aLp8PNlM+ngW3InaO+cU9f6EyXk+i865l0P7iMF4bWHh9Y9/7srvdyWPx78/iJcv6fs/PIe85sdz
aBh/maQCsavymH/r5ucO3vyL55IHCg2o4sd/0lD4sAKFUpv+P0cEf+CPFt77y2ERycXGlBvEwO+h
BRjM//1JVGeAz3/XOXgQRapf/6ShQD3AqVwX9ikdsvCAQ7UObscxLWoaDVyx0mICOblQp2vi7kH6
ZnurAU5m95q9SwNKtnwyyJuWOlqEBOvEZuzRt1mokBYmlkjPJr1EJoifME1faH5iH92ZlJMx0zdO
zpiQbPWNP3vvdjKQ4z7BGQwCa8bBFIWHgrithNgt7SN/SyVxdURyGQPZXJlK6WpVXpcENZPhm53N
aisJ9KpVspeuMr5aA+9GQexXN4srv/XfwQ4S5OedUHDvEZzdQq7basSGaSH5YUVQHmoCxRqVLEZQ
3lPWhUtPi5gR2Pdh7I0LJCgYKVKzYksXfmFLtje9ap3owReTALM+wrA5DWRuph3pZrAIsWNYNE4q
+axpGHe7hKHVKhUtbQwcX9lVDRUGDE94rAlQawhS64CVd3zQzJ8JKi5RoU9BdYFT1KX773ZQclGk
Ai5V+Wz+TNRoquYXFdltpjtdzIS5eU10nlS6W9Ql+z5EvVar5Dd/4hhUWXCVSoVL2ICwGf2CGnDL
/g/cqdnMm3DKSP6pojeyRJmjV+TMoRvcAva/yFQCXU4UXaEy6aRKp1OC1iqIrLXZfOtVfp2TkmSH
fAJJCjN66sZvmkq7s3wfnwqD9Vkl4Q1ufeepbDyNkLyUsLyMxB5/aKDnAmlNOvL07BBd/6gy9tDe
XniE7rlsTRFLwqIVBPJZDPfBNz6P+nyusfoiq/giK4heDVF++P6h58kUSHabXOWMn1J8OvCvVAIg
UYCjygTUhI1Cowo3CXGBE+TVBRv6jUuQ4ERZif+jUWj22GlfB5LFLtmLoxjJlZesIwglW0nlMOPf
D8rww3ZGZCoD9wEvpctayAVqiL+Zn5ThFj4BC7wYQwFfUBR8izggiaTAKuJryLxZBRATyTUS7aZB
P808DGe4su421Tx5rlgeE9RsXJhmYi4hP9GE85o5rrRTEtILuaNeMjoZUP8y9ErRSeKxsMx43Ofg
gxd2XcYXnjfC5B1suYbA1S2mCEihPgwbCabL08MTZDWSlA1xNMlNXri+f8YdCkgiS65qB0W2IR6R
F0y3jdDSL4VI6MBqmNsm/b0ImmrtdXwhG8dMgR0hyLaIAkB+TbgwYgFE0x7fG4NwSLcgV0nIfrhC
GUjoUUmmhTYdsYisU5+E2x4R0aLPiHsw4va16bWtAFK5GIgVLpzeRHnrXWiAVi4Qb3urskpIDfSK
5tmgpl/YAEQx0Q/OwlIXJXMrQGVsVDZalcG47Gb9rRbGU5LnwcYnNnMtG+lti3nkVEozMLw5e6hW
S3Tq5bpE76l+voGTM6oPaKWjbSblVcwTtZQEriW4PCLJv1rXbEK7y4OYzG2cky5a+gCMkrmhM/a9
5Qi/iTOj5ycENwC42Aa26rTJi5yVWoxnRCkxIT0eGGIwT6j0bWynX+BbbXutvZ3TYUBWiZg+QhRa
sB1o+wabbQ+DGjbcNqiqndO339BgRiuby2MFrp8HNs0WxtEb87u8TbJLPxquCz5R5FOA4/OSkVMI
nwBpxCOlz0Za1QEl5vtYGmKRlflFl0qW6mLcuoAK/1QI3yuE/7lRv3xp2/d/6qc/7dSp1RXE3IEz
bvCoKTLwz1qdsEL1n5mNI3H83E8TY0hJwb4duwrV/Mdu4EeN4P+FkxEHiyoUqOhZ0v/GmP/D9vJr
tW6z6LeIjDJ0C3ek/7caYej9UaMKl6eJ2tddR0OQMJ50QYiFUxzBNgsO3ZyG5npKhiF9EL3ACM0Y
IO721RyrtGmH+VE7+XJeJ6PRQe6RVVGS+VGYjv02opdUmBniTYkoZcIFArfB3yVC/5uv56K7ndq2
bTY4zoBnBwR3g32oSumQVaiplrV2QmMmGiaVcBXmUoAWYgk+inVuoOBfW2rCv1A0OPQtqdj2ekpO
RjOEln2fCZJgNqQ/EGgvOHAKx+p2FVSd3WhOffJNmt64CRNUQuswTPJurbjzjOzG8EILvOw1xkK+
8sFokBpeTcNay9BEEZHL/RwhG9VzjcE+sqzXwUaoNM+5ue0w40QczqG1tafomyM1ghQL7xuVDrKC
PISTXvFrxKExxx96cGSYDw9RCGzQU4dqGMMbQVKKG6bRaAlcN+WU7lK4v+yeFw1MFVogJvliivUd
8ezUIQGcMeEp+c9chhdVo2XXlrJMsJnwt15VvKfubG/NzGTaHg3Wti27eK2T8k3ZRlS5ZffZNSPI
dln7AF6qwVjkdS3XnlZSwXnmewQdbUfPw9eCHS3GbQsuRRm6jN211yolt8iZs37J7epto6b55sog
gO5GieTmFH4r2ZB7kXWGuy3LvL3wbT1ZGVqUHHnP2DDIVsZyNyzjPkFxQawguig5nX0/sLfSL/N1
q0JxSplD0GwsbyH7APDc3PA2PfMpK1KDYw8+TdNYbDIlgCIwWARtVHBv+tJMtgCt63NIJBELT9md
3ZiKZJ5EDSBxmrDQlwbEJ90f1y1x7wq4V61H4fZwEgnPCMYi3YkMgh1jmXz359j8ODYtZgL/3lgR
NdW9N//dWqlX/WythEowF3DbPlaZapDx6dj0LfpzmiqhREq/tFasKoXKk2DkiMmPc/jHsanc5mQD
6pybgDjVYfsbxyZKzv9qreC8095xpusMTXTe3+fWajAKA8iQP51owNqNrmXFukU8Tp1mEvRIzhN8
K0xzNvBqO0CCIBEZ6RhzkTsw/Fb6ozjS7ctRaZKGhMV9j0KGhFh9mU0mY0HR+cTNUFliGq/OBoUx
JOJOO7CesLct8idf7es1FvdFzfeekeg5j0v0J2q7r1VDBv7BPc1q818oDUBYoQaIS0mh5lFd9kCM
aJ+MM/opgJq57FdgKNa6UhZoSmNgK7WBSPvCYwuHBiFGjEDh+y4RJ5SIFCqlVmg4AfaJUjCEii45
K1WD3jvPiCBvfKV3CChtLE+XK5Sbq1ZpIgLEEVg0F7VSS+B4POvIJ3KUUj5yihhZBXOgLUlDvNlZ
GktCqi4t9IkL9K/HufK+zkqdwWNbLz1jOExKucG0pSZaHp5QxObXR96RKp2HjeCD3Oi1q9VHyMNP
SawMz0obEiuVCIX+6xwbV4Jify296iaOwmypJ2btXbemp01brcclXyGUWAY651NNnronkE6Rr25g
0yGpemvoRMkLfyPIYZ89L17b7kBnawNZaj6ck7RmRd8qCVgCOkWFuvshXYg0rEeCzI69Cn6vrWo9
jETBt9N74Dprw0AnZZAVT77Gt94N8bypGPlOBcoLFS3vkTEfNAiQXBU7XyXVOSKH3lOB9EJF00cq
pL5RDUZBbv1gdA8JOfa9CrR3HOyEyls31xuAukpWSoiPcM6jDB9JC/O5pNpD2HTZatDyYe05fF29
FpgvWI9u5U5Y6tysiPF8ttg8QwrjuPZpFpPrFKIHaXPo16TXrKa6xQhtxy/0tOGyG8oXdzSbZTsC
q2o1+OkETFl0m2kKzc6CmGRgeiJQqyIkKLSYHIQg58mXx0Rp7Iw8xzcPF7UvUjbj4wwgpmZZR2Yz
Lk15ZuyH78sMFsWYe2ts9Je5Y+wczyPRPvSBdLUtYGXDhlMm9jp7uIVTiW6BkJa48mw8laO2b8qu
WUwyfeuT/jHJScaa5HVi9bRCYf7OIXXVGCFEYuldsdPV14nHsjdosUL6Ey1TZX7FCIeGuIp2Zja9
ygQNolHckiwOHdyev2QEY9GH2OHGA0e4qbBDLEDTfGnL+myE9JFJkr4nM/EAkHy3cy/dpZFpDveR
0uyEsBKjkGaWKc1aq9LHQpaPogGK6AyMF/TkmU6K5VlXkpaE+3YRl+YRNvND0mgH1OgXnp+TXTna
ayeqLgJ8H8u+xKdqCwEOR/vS1dNWoXkQxWUL6aog+NB96mZimaj9/N1QuT4AQj/fScEXrwYvezLS
0tNWtSIZ/LkWv3cT//NaPL408T81E59vRTVwZPLPeN3m/lFrtp+3IgNHA88BIAJGRCwF/jP5J9GE
BFMm8czk/9+Y8set6P6ltnZY5U2YVhYRp791K6q94a/NBMsFuh2LhoJ3wR/4662Iz9OGYq7PJzOP
HmoT2GbGIYYeoa5XYs43Xu1sBQQze8LDPPoPmLSZWPQjiDnfuUs862iW3T5PknU9eEG7cl0SKdZx
JKv7rPQxSBj6OdSKZt9B4QOhnyXaK1QPauZCQHQ5uMFAYrmtVBNO5ia7tsMvmfNEn3XmFvCTnVuZ
InEA33AiYpOKsDBXVYSEpB7Lu2nSHhAK35vwOBe6QWOvN8AttYk0Pu8CWs2KlIG3BvWhnSLgCVnj
V4lxDZPuwRjaYhV1TAmDLj0OFbiPPii+TQ0Ogoh4zsBi7oKiw1zbxnhCo/tSZ5Aq7cEkRLaMvtYy
n1edHsCyG711qHdYV8sI+zZ+Fp5mzZr2ciy1JROeg+jdk0lqZS+iw4yiiH2oy4QqUmbW4dAM1WOk
+1808B2c9OY55Q5EkPqQxqj1m2S+7xq5GXpRXYlAAiosvxm6WA1NfOP3FThUghurMGdtPyG46Q9a
OaC5hYeK0IojyTR7hlSMLzQNpYCZpShrNHAbkbNEl2SsAkROAPsj72TQM1Fh1+ly6MjBjEq57BSP
q0zIlcnpk9Zems7LYiQrj13vWzSFF4XJULILYHQR+8Llb+zpnHd935yCDFOYyVgNe0pTV9xsnHfb
zs6Yu3GR7c2Oy6W1j92I7MgsDWMZFcPG0oPXlKyUNBuJFuEsT4rxJXSok/gzl8SYkw1BjqGMGC9F
pvaiN2FCnBQxICIlZZCxMgZBaB98sGtPJ2DE6COHhFOTW7dobqM2sK6MDoGCMEKg0C6JpXODuAh2
AUh5zNTZ4K48ULHbQoMCnvH9RwLjQfSz9lrdPlBa7vTeeJBDJ5Zh1OqrrjXEFdOx5JImGrYovpF1
ZOfzIhhIRylGgPgmPvvtJIR+VY2mcY4NBUdNh61vVTtm7Bd5SiEw1sYL7k6bgeQUn1yTwGIf783k
Ia/tWrmif8yWtixep7bcGEP8VIZcqn6H8Zcg0mWSTdnJsmDhj/l3tODb+H/CdxCL5MSXxeeYbnUG
/GeD79lw8Dht0AKgIFCiAWr0z5VzZY5A1hClnLL8PrW+ksYu8/2nduL/76/wQT2zm+GM1FEr/PpX
TFU4tgmi91Pavvbp9VTdFf7lnzvq444y6HT+vXVTdxSohpf/bt7U6340b8y8TLXfos/itsIP9+ma
0v8yfZvQP3V9eUq++kPY6pKTRUf304f3qXdzmYYRTOHjR8b7YYDI/o3ejY7wl2+gTbiXuvKw5ln4
VtQ35NevByVRarjI50+5zhD4GGFHeB6FHnlw54sivC7BtF7Mfe08O5Elm52vIQ7Foq6Raj+77YMf
WeWt78f2vARPJEHHF2732Jq9AF4LAZsaC0G+FWsPo8HhM4aztcwMI10ao3Pt4Z7qSfHsB+cuzKYX
Gc4v5KxaPGk3Tuuh+UP7ZGR5zAHKjFmkznocghWpDhfoR/ALt1T4YUMoRKhPL2nd0Jkw8l70RqgA
+wAAJ7o+sjU9hcYfVTyKt7B7f2+FTbMYZLCrcufGGuybPHbEKjXdr1MwXsGjQLM6cC8V9S1S9ufI
Yx1QBtwVQEMIWzVmYsViP1+WQxkvHcu+SRz3cvDaJwOzQ0oq4WXelIc+QkZLii4JLa2LO7EJ2ZjI
Cv7DnN7Qyt7X1lwdzWYoF6QziUWjFldNTsiutNSuI2Ot1JkjMroizC5Bl7G8R8TvQCxohV5BsWre
57aZ2CyM2dpr+13WEn9IYSpA/EKoSKDo+kvLwpSGjHoDP5WGKOEzQDIjIRZ49i4u+F/WMPYYQsqH
Ikq/wh05e1a08qrsTaTRnVMSY9V1CUGIdrBnJ3OOKwXDtN1oyV40WIQY4UK1ky8z6yZynDurwQMB
5/CrUxYH+Gw31eSBftIJdCoKkI6gqhP6pfFQKEsS/eTCKottFmvjwrB6EpkE8r26eEicNls5jow3
4H7XTkWyqu0QNi+pAtBgbqzaHa56RRJ3p9br2H7tu9TJH7xcpQqm/XkeuMtsM7oqZnw1tQaYIZn6
+2ZKXgMal50T0XjYYGlAdj46hvfkBuHSoCAByQOjR70NfbjRJnyBwXzK0higtLHxg2u+rCVG9f4y
89PreXKeYwd4dUFQzqYZMVtYMJaRFk1QufjaCTu5LA06ZlY1THK9R80F497ZEpFpMkLyauJNKtMr
u8pPBI0dLN+5HlqP0HO1MAxdC4RN/QyPkqAv4z7vMsTLpXtRDc5piqXJ/U9p4pNUNNQUj0F7x2bt
1dHGI97XdyPI72Ct7QX5PsmQ0vORXrTsMh9kSMnPgUne10wgZjRmxpjemLFgKZwT/3jijGX0VDds
uIWen4xAXNdcm7WfvmpasPRKzDtuxB4mN/PrjgYLLjBlZ94Vj5HyIHFtIkXVi+ygZX21tFWOR4A+
YOnm+Qtz0XTdTdlZtMFTRnDVkvUAc27f2vnefJkV3bEXKShw64t08heqSZJj+Esl3o4qXmUBGSJE
YbQZ4kjT2pkVnIA4YIpAbU9Ui1dsJpgvlqFcuvR1kx1dACU0D7FoijPy7qC9GAdB+O5cEGRkmDO+
1rrbicR77PMiYxSbE81Myni7qTO928JLx9RflMjERsu4HifrgsWmuIp4sJb8zO1T4VKZ2AMaPEDf
4+NcA5ZrhMgOiQWmp+MjWMtMy3aCfSDoJ0roRYg+D+qJ00W7TjOZoONlIt0MZMJGS4J08eea/n5N
03r9j2u6/Fq+/cMdzYs+3dFKRcms1IJhyJX86Y5m9gqw04SHRoVooNj8cUmzl6Kwsny0nIhTsJr8
nK9+bKzoTWkzfd0D2/FbnaSSx3wqErmiLYaJePwFhmmdGe/fKri6rKFmR0l0/X/ZO5PluJGsS79K
W+2Rhnkw6+oFEDMZjOAkkdrAKIrEPM94+v48lJJIJpP607qXuSlTlkQiBsDd773nfKeCumhvqtP0
x7AOCmMFFpTgNBpChTUwJ+pKuvfkPIgB0tSObb2yT4Ol4TRkwkS+YZSi+Q9lksXyklSWFMso6RT+
TgnjCQUnFODgqCd5BGSz0sOy95QOhjJGK2NOib9rHF8MM+gwkZExmSB8eKoce3LrqSN+EZxuFW6s
oWvwmccGeYlAtYxNFdRwrPKsIcuqGtIav5eQSnTaNFjLwIai7yY2+vm5xetlcPT+fs7+l36jcrN8
cOs/5dz70bugQH7wx+2PdAsdMVZmmH/scq/MV7oIjGHAAGCaAsLBGPXnGVWX8UfT74fvcHouhODq
RyeF+QKwWlm2KAaNf3I+NUwxcn1dIRkwDIFboNN0LOfUZXkh27IQJ9lMN6WDImEKajkwyPr85A8h
CFeDdNZOk1eGEq/qKSAQGlpyfeXUmXSpWj39ZKRIuQWp1sEz6CBfWHSNUn8mSMKaHg2JI4MZ+hnY
E3QQcSW0Eao9r4Nm4E8cm9fAxdH0Cg0FKsxx2ZeSs6oRWORlIj8GFZqLSh3LVSF0GAODHrcX2oy2
4N9qQq/RJWr9pTxpOISaYw57Yzfk1i6OaxINmcUCIFexVknrTiWMdVTZDIQ+hFqcyaeos5GOUGOS
gUhEMnsjhlGhL8nqOFiy9GgkjtFVxwpMoH0yYmlBmqJhrF7anFFdVehWZm1YAMRrjjEpbS658Ok9
577pWlFAppHmCu73IqqCcEEz6zKeW4iJiGQmWdhoORUQQv/YRASW2XSn9JaQTltobCyhtmlB5ezy
kwJHaHGgkMnL5iTQARRIa12odvrSVl2+FgmzBANvA3FP3Baah7V3V4m2fNIX4+UstEB5oyeXI/Kg
QuiEHKEY8k/ioWSeoxWnH5RrsEwxa8ZCZlQLwdF80h6No24vSDNBkYQPe2YmnZf+NZm95bo/YbS5
sfNtXvc9+zhaId+U7H2kQwFxIanuE5MfzvdK1fmXShfep6FBKFluPgR1ZrgDUJ8ljcP7RGmDpd9i
u3YgjzNcOE8Fbs+Op0NKEooXTtlzOBuLSgvaw4RAC56ybnl6bSeE1gE5lHpzW/eVtVMN+jx9PF2z
5vI1ZdlaD/kfpyaKYzQ6/K2TUNtHHTpew23Vzo/cumdQsu+NUtpNmoVCjCH20TAaIi5qIkTo44N8
9NQGgkYZp+050lfygLjRoMwO5qqujOrM1Dm/SEVBAM6gugz7uzWEli+iMQNMQPEmlGy7YSQoLu0D
ZWXovk1qcbaSMuebKjVQ8bPLoutufWjBTWnhQVal8oKY32mrCtl8UMwbyaDBldGMupFj31/a9lMr
jWdRap0hEjyfQni1Vhyuq3ECpjyveM8He8rPjSz7MvfSmaFE51lISETUGf4+twHCZcCVV10YXIfT
GGwJZ9zWcb9JKr4kO+QYPESxK8WW76qJ/RB0A0+gGR3GviDFLuccKrV9BuWIxEUz3TrYu+0a0nfN
9LxIFIRJz6YFp63NVhS0q5JpmtzTBwpUOpo0h8Iyxr6jn5HnTPwtsHy4oyEFcHprp/KBeuXW7GX2
PzzhJrFVjrnz7fm5rJQrY+62VmcDHsyWJrA++CwjGa2Jh3jkITS1tVn3yyYISpIJmLMl+ZVdqN8c
AIpulmpPrTNd6RKJd/CU91M1gw7RvZLvOIshkurMbIKs9/oZNxOxA4/M72+Y4TD3SOJt3YVHIN+H
zIZWjTPLH4uNlRUYn7l8asiXRJ+S+DZ56jxtc79bSAxwkKgza0k2lkmEbhlvzGZcMVQdWYmiR9MW
SdblRkIBmITWciqLA/4te5nLxRpgT+zCVz2qzMqiPtiMoBqzQjonM2o1pdFD1YGzTkbsdNkzU2TP
B0lJI97z2xSk4lPhd1ek93FHyuTI0mgbSEcmNQhz+wKWBtF6taf7BNvp9nXTmisqdgJPRviFzk0a
z+qCiSvSr0FeZ+TEOz4h9plPVKclr5j1PE9VdMEKtyLDwWvIsjVtpJJBE27psG7Gub6TlZbqwr5m
Inhnh82VcE12GWHz5VMly6GHeoRpKXxys1w1PoGogb4MydQNtPBSAwpW9NoVddazIkGirZndwUUr
ZXkjOf3GbqSVHKbXMYF3raHcUtW7lg/fzzRKSLUAaORuxaN40Tj2StGaneZPXLBakok9Uvk3CzCT
OWgj9ZGE8Tt+FSli6OInTGckSAi6eThAgxgemryhTSydgSPbzpIFmpOxYF8nqxAUmBuWfkWe4US7
17TWakt2X5d/aZHxTqWFdc9CEIOclsnfJrdhJI4ZXQnDAcXR3w21/Lmo46tCUgjFGSm0Oj47CLt5
u7Fag7vTwgnQX2L8OStn1K8SFJHI2tijf/BFRoae7XpfweQW2cyAo1WWTkdoZeTLDG452FAmnXOU
lvclKNqppmvOWf3Wr83Lpm4OeWNcIUqVXZBF1x090r6ECCFkA7mRnqdGsKOXLLsDcWe1WKjm4m5K
2jO1Bv1dhjzZA62pwWsGMT7CQlnmt3U57RS1OJNUwhaJ3/S/IvBKrxsELx5zvl0tA7mAfEq6JhtP
/A3c423cZgTTDC1WXKu9h6xMsyLBUYo4OVK+mRkd6ba6S+pwK6vKgfUWYVGdMOJpzhgL8lySp+rN
snIfGk25crTkJmO0zLAlWSeacowTO6aRQze/GLQVOrmNn5jeoEqQOeaC3ETm6MFAnMakiuQOskvy
4xiY69gfdyPo31IqlxKBly2kE+HY4AlgWBr31rLrgmUdSrlHUhea7c7LUjYJdOWbXrK/9b2xgsW0
htK1iuRxSaed9achNCkY59WY5WdTG5zVrXFDFB17TUs2B4f7Nko8MjGlXa7q3OtYQwkar5Vim0rt
fqY72NTlY2fXyyBuHGQJ477XGTNkMtvfiyPt/6jBbWj0NU1L1/DaoZh63cFsh7quuyiXDnJGLhpY
2uRKggby8UVeAwBEo15cBMyOrKHA1dQ3jXoi/WSTVEXpMNpfa7LFuvuxQJK6yNCpfXyl9w68L68k
XsmLA2/hF5My+1xJtS9CnU6BhWl/xkv+Ke6+RIgZPr7cXycQvDGeJuyo9EEYmb6+nEpUmu2nRXDs
pS9td1YFj3lKNf2z5njnC3rvHXFa5rDMZdAdvbmED9RUdqYyPIJviYd1N03LlNDPLFhHTATV9uLj
y73zjnTFoWhhpkJD26SYf/kBing9dZLb6Ii3zI00qkzsiclv3hNl/9uy5NVFxN+/+JYaX2rx9nKR
mEZyW5/HTrj4f3sb4m2+uELfznT/ENAf63JvDmDnihufaMKPL8Lw4cO38earKRPMaX3WRMdRIrbH
8JzoiBOUBe7eoK/dHNSu+c0V3/t2cIzgCUAMZqAEfv22ksjOojxWoqNVXVZy4JXp1vKfP35X710D
vbCpw+JCl2a/+eh8YrpNu6/jY96Ey4zc2rzwhvT244u899FBf2VQCAQPasmbixRDaFlRNMZ8P/e5
eR5SKcYsBo5/DTxHR285+JcfX1HcU29KYZa4X1d882WFEEXrUpmI72SAi8WN8JnfLAbK609OaKgN
xUJlTQaXIJ+Jcv/lTdcUwNjDUcmO8Tm6gi2b5x7TzNK4DK8MD/TVyvak1cfv6vUlTyvrq3f15pJw
H7MRfWp87M0GjD9GDOy0arH5+Crvf3bMuGR2TsM03nxb5qyYVpvJ8RFgl6eS1Igc6uMriE//7beD
RpO7zaEtyBD59UdXYuMkvBaOiUXpO9kqp80vkU6udhz/5r2894m9vNKbBY65f1HTzY+PCmBr+9Lw
r6v5N8vb+5fAMwuujifJenOrRUrS2/ocJMc8Pxg0/8ZIdQGG/2are+8R4mb7eZU3X31S92E7BVwl
Sh5T8us1aQmOwQDslbRHKVmnxm++o7+8LXT9YISwKbIVIcl5c1SAy2iRYlakx7ZfV/WXwVxW89XH
t8FfbrQ3lxDN3BfLdt4HfKBhlR7heruKhPE8Nn7zsb1/CRHFjDnSoc/2+hLxOGZSSqV1bNJHad4y
H/vNBf5yK/MeAMCiSzBovJH48foCLJ3WoORzduScl3XkKcfbiEC63Hk6fVb/dmVV9cVNs3hoH/4X
uWFAWC4IEPvvf/ZP9ePTt3cmEvzUz5Ys3VXQEgaK7xNEgr/6KW5T/lB1JhUO/VBWrRctWQ1cBSdh
EBMIvh0CGXngfrRkCepGasJIQtMYHwqb/D+QDZDuzS3wa7U7yQYsosyYSwj6BFOT17eIJqn0Qqok
OSiy3tY7p41KGZh/pkuf7SKx0FKZDLI9IFAVTNtk0akZAKxsM263QHLWuUhoFi2o1v5EV6d0y6i/
AdJXn8kjYXl3vghtNVsMkhMHV4+URhJdEyKNcaZsStWAFYfDvUimwygRxuFY6oPPjezhzDgryYrN
zZEhBemxIymypYiT7ezxE8na38zSuiq1gl8AwnYTjAbyL7vY6I1z2ZJO2xfQo9An00NSZHNZIsq9
9UmzhaDLXFqeWi8ZlQPJTpdDBvvWnBAdByIOd6ztTW9irMmSYeMDgNRFdO5QTN2yF3G6RVH1Sw4T
8aYkiGLpIIlm/uqTjluFd11StYvcKJN1AIndncUAUBOjQDTRTAUHMSBEX0UJXJ3mhmC6J5zFDBPD
UC6XiRgwNmLUiME5uLLE+NEUg8hCjCQx2BuHSIwpA4WB5cTkshIjTEIXgaGLsaZZWe26FqPO8DT1
7MUAVGUS6ouRaC6Go7hHe0y/DEwRlTE7jcUY1RcDVbusqfwyhL8BryGvop1uSaaydSBUJSt1SDA7
W4nyVak0fUEAmWtVcbwPybHBkEcipSBjYbd09WBeyUZ2SXIPwZfjVOBDrpMnwt0/V01yXsikfmfW
sE6RSXvM5Pa1I+2BYHEjZdHCKIGihfmuVOt7VUrO4yEq3ErNbrSAcLk2tB/1sjrC/bvIs5GY4rC1
EqLQJyBJ2JY1LLRGGM97/Ge5K8OgTkoYBZre+3S1w22X+UhXfLoOo6nay2wOHueRZdeXi4Jimw5p
IUb7hpOHtHuNRzrPtdAVJB4msGahheOyU1CMZ9NtIBJ6wCQY9Mn6GPU+rXuM4Bew9LOFLRvkIgdZ
RHplQK41/xKPrhvSarEooLxEBt2aGsSS2rPer6cw6hfyKEOlA9uS1ISIT2XS7GSU+GY09h5dWHUZ
CSqaDB7NFJw0H2DaIBAQjmCo+XljuRX+LUcQ1pgAOW4DdC3zg28QxFKPp8trBZctFoA2QWqbCPNR
ZJSWnaC4FYLnRsPCWdnc+rJgveUyVMyFD5oLVxcNYWKMYqtIdrmAwv27f3wfaHMS+llh/2X/uHjq
H749vLN/8FMv9w/mzmzkqqpRZbGFv9w/bGH9gWhgQ0Zhaf8hO4PGoJpkV5oMmgXCgV3nx/7hMO0z
Tss9Lst/ONUDgfJ2+7CYfDA7hPmI4INX8Xr78Emd1Aw/mg5RftQmS1g8IJ+NrXM7zurgypNauY6a
nwMzvyLC7utUppJnkeGEPBXbHbHhSE9aZ9ckAg5GOswomV8xIu7Tzvk0z9WtNmAXIYG2kkzBmLfu
0zIrMW+YqkfiylpWs3PabDT4/N5xk1mD61bR5zUBHldm8slkTV9pBc5oha6pCsQEfqpxl6TWp2Ca
v+KIzD0/cTZD1d0mUXusHf0isuEQce68zpLxtijG4MLv2x1xiqU7Sc2ZYscd7VxofmPBe54Xsa25
ZFVsOztcwbL0mQLkqzyUPndl5DGmcKnSLlI7WM16SKi5Zfkg8BqaQfiTSFVaVTYjRXiCLtaxb+RY
HZpEMTFNVtP1LGUsLz6q3bLx5mpEBBVrkScBMELDIsVLRzLuszlRlyYRFyw0cgpPLiL6cIBLK42+
sGLGC3voFynnkIUz6QwDndnVFOKKaP0v59r4RJQQguaAsKZrBxtq67idUdAiHM2mmW+VYZhjj1Fj
hW0bvwf22ZiOxsU4BbEwtAapvoBOD64ZB5VtYo9vprWcjpt56M1lx1zExfu/BsLYeyeShk/zXLcQ
JDBVeyrha6Ry47j0Sb7MOisYXR+MGn532+b5l4ixgm8wYCTl0tCb7dQBtK2tmJjGfINwXlqGSUmE
gNXvHZng82TSzthKP0+6ucvKEgCOMT1UilHd6hnjgEy/UhCDDeWwRQyxHuPYJ/bMJ4Yt8jc0GQov
qLSzCc+t60h00ycJl9ac2Z+knjGTWUlA91SG0z0BcuxLtj9sZ8eA1ViUWPmDHLGhhD2nKtdRFOIl
tTjBqP5K62jNQrTHztl9mtP0c2qoz4XGZ+bH1R0ZIee5n9zS5b8Psvo4hsQNja1NLNl819R5xq8P
N4TAWF4KXzAf213WWdzN8XzXM8fKleqhnaKlZahnxHQtlKi8N6OhXfgakL9EzlFw1OlNp9e3YWP0
btmRIipbyRmD5mU5w7hsrfuKE4JLmMm+5lwFam8ta/5nhTniWp6Yf3bdF8MOrrAlrCwlP9BbPYyl
7PCMzSp5cRwCKjMnYbm/ULVgleTfEo4DXd/Gy2bw10U0QJ0WAGwQ08cIAbct+/w/ApLdWs0dqTOj
x1nrIRMgbUNOWk/GOaikAUCFfroxBXZ7LFLYJLV1g5r1jDnB/WyH+xRSt6bCXhDobmiR3/xM3mSO
zW1kVdu+y7gBfTFaAvsN/9uIRUprr9xwG99ZAhEOWfqihRnewA535omYAmk4Fj6nnaxRdI+oLwtq
d264qcCP25gc8EmMKRk7zlWCRtENBa7c70N5CVsDXanpfB1hmiewzX0BOfctw180J/D5VDnLOjbO
SrvRjzN0dMwFcNJJ8Iuvy1x59CcN228y385Fca7NwVclV3Zd2k2bzHekZZuoFyFnW2HHapjGIY1D
nfhUlDBgO/R7KCVLMbGtHLdsHT4Bx2K/N9La8/X6fFass1ZVdlGnbMOwvaoD/A7yAC971i/GTjor
Mt5llFSLsg2BV8+SvqCmXwDC7TwCkhb/bvnft3x26L/f8g/1Qx5QXX8vI7ff/vuf7/Q0sa//2PKB
FZJOpvLbLBEXLerCH1u+Yv/BJmCo7O62YegiqerHlq/9QWfeRMGG/AdhOZSln1u+9geadVPo1kmk
opX+j1zCFGtv9nwwYxq/H7wz2WqaIqzKLzsjlYnNYgBkxsFdCZfanCZwbjrHP5PGSj7LrQZPvyRP
3Rc9DneRP93bAUnGEPMfNax5C3Tog4ViN8WJWWlyjLy2wpweRzGSXTMsPqEDNyec93ITQEaZMAph
e1BZtLX6QU/96InMDx/eTW4IjggUnhyrVc76SKJVFFdLSPgqAeu13q+qOmaOT3YkmbYJNGCS1zkl
RKWJ9ASWIcVe/SzZAc5gjJ6uEfk9xiYWEVvBgyhwA5IWOys0FIHbTBj+IeLv0k4BIlycNYa8n+fh
UtHm87B3RNfrXC/SrRKE2zHyZ88wa3QtimR4RUM+tdroIRlU5loupWPMM39V+vZZW4ZsZgHHkMBp
lPO8KWpPlYZkOZkgK2qYCkAgu8PYNgcpGZE6BBijJ53TAxzmJX5Gk1AEs8XdEmlT/Zxo7XWUytck
oWUGyfZtfpSqZN5rOmmIVbkKSjO8KyJ24tb2/MbPmOahQtYKSERg9z21BF+sFrZLtCinBS27lkxj
WJU2u4NVMaCv62xN7KKzKdFsURRhhwZxvVCVPDz0AUL8CDI2eKJm1Y5ScWUOVCNIvclzrV3N6XK3
VBUviqS9MmurHuo16dilftuQR8MShjqGdW0lp9QcHPS8sZtBDpdWeW/4HVwuRXKgc+S4ArxmquP1
i0fx+L3r8YGJB/cEFkSayiS9ceC2TxlIL1p+sRwOcuKAYVLlkDD1dFAfwonPCaJ0/ud08N+Wmehi
/v36d0y77KH56/onfurH+qfSMkOMiO5WdMUwNP9a/whsQadLr4ruPyukYNP9UjHq/BWAGQB0f66a
v0oeOmwqRcpPvPw/aJnRnH2z/hm4dWikiY4ZOhX8WK/XPz0McpS3k3IwyKhMNpT/Kuf/KtnHfurp
Aqkazp95tly1atP1EDifJRgAbhaSl1kEa8dPqWQoLZjAs3wW9aXZF/jcZMBGgWdm41Ybm8XcwTyS
7osg2PnBCh3VQYmdYF9Eje2ZhiC/KvPoJo05sFDN3zjdxzxJHEWRet0jGsZGokntSh/a+7nA4Myx
bKEZ/ZFzobasMO7x9/LZ3JOVif1xr/M4AMhJP+US1PSslp+isnkeZvWbLaHSL7ok9Gp1vM7scaBz
hpZ/kj7XM166kciKGDonAibnIjen6UwiqJA9Qoi26FqNPisYBlr+0DzzFJP8MeM37ZUFug2VBNuI
9osPpC0La5hrhfYoJ3ecEsPGpOVFL9LArGSKsaxvtfWCWm/SPSNB1sLmoGnYY9Aeb+tGa50HJdLB
qEQj/UmMkiG2UzgnjFkqShYJZ7qgoLB1UJeeyCiqna443SZbTe1r/JqCoTIJmgoGB1y0c1pf9gWs
FRykFeN7+CsqvTtAFyzBoaCzZILTklXmXTFDbuE0Oyx1QXMpigZPhCC8jIL14gvqiyn4L4jPdfRV
MGHg7HuQposd/EvKAKJ09wRWxAtg+M0uRMOxHgVhJkde3SwqwZ2RQs1fA694VgWTpgqrzqsEp0YB
WNO3fH0IgqslAbX4PEmociNBuNFl88kRzJuOcJ5lLjg4lLjbVIaMg18+PdpakCyVEzdHooZw8Fqt
dUHVSfrGWJPh/ZQJ4g5RyMjIBYXHEjwePjkk4oLRY0MfBXENtwfAP5+NYPnkguqjnQA/imD9ZIL6
U05M8QtsN24jwEKtLdVng+AEBQPEICdESIAKTVuXpFgv+fJ0OATGc4QVDxFliCJL19bsIoCIZMEk
ip0yxGdl61/ljFIV9S9aPkExooLCyl/qPWg/ATmKBe8ozjvIR4KBVJMNshlmiHbLELGWTJIavCRS
w+v4OcW5vbFR718WCt5uBpANIYyzXJ9pVPK1PN6kkhIsUjkFQqE5yapIq08YswJPnn00u0CTl02I
Vbtv7qWg+pwWORZX22GfzihA+owmYyxDjrKm+JOSF8e4aqIvE3E8+EWC8HzqbBSjJbCDGexj3mJx
M5Hqo3yutk5nPoVp/4Wjz2oIbKxkjvQ8xK0IoI7uaS7vUj29E2CqNVm5ppdmtVhEnD0fxbYj27Hg
OZXEHtpm9g2UzmOlhLsSGLWb18UFs7ZH1XQ+96kEG6Iej+0M7N2u600xN9fN7NxWoekv5RaYW9XV
tMKnCEhTNK01le4ADmQaC0iMBnbm2g6vAtzVrhXg7+pSrToz5PmBYlvws9RNVIS7xPIPtjbspVEj
8QbfAU8KrVZ6ulh8ohSZHPj5r7FNC8BM2ngTaH1EkClcvRGg0468IexAZtGA2cu+Oo3BmiV3+dLU
qmMxSNc0LkRccRLtgrzjUS4CmuvTYPOSqM8nCelhObIm+cUQXGbwwSnnG+nyhIKaZd+nlOKireBt
x37krGWinK7SoC4XtkoUAStMB6/GRAlsjM661JVpOcehLaSTKSuMNa0FVHTpN5EG6jrTl84ckz9d
G88cI+dFos9bAhMOlOZnmRafM5kVuQGyutYAAC81ufRXBPER0QoubU26FCJLOtQb1RyNRUy/Iwoh
X/pRpK5VTTgGY15tmPHUqgOS9zRHMM8BWziQWKVkwdUect6pUfeG8HEHbhcr5lqKabfEGV7xCjQJ
rg5wXixTnftvqXcq9cTx4++POldR/1Q30bd3qj3xgz9OOwqRxZh2mQTKKDWE+ehnsccUkA4uJxpK
LQQPL/q7mDmoC6noGA+SXfy62GPgy6iRE75wOf2zdLqT+OXleNBC5sVRBy2EaXIOeKvBCtUcOWin
qfu6qKrSOpfSUxotp5UmkxeOHicHp1O1ZMHqoIB/Grp5pUyTYrlTy7QKZXV66AoSacnFkbaGkQNw
SSSQ1GqTn9HVyK4nLR8O3aiX5yJ86LEN2mGnZkNyrSsDDsoidnKvHcmPUSN9U+i2v1LiGuG2hc3j
SyizkyPHJ4GuHkpXd9J1oioEfKQ5ADvKi2dJi+YrtTGjDs0sw8p8UohssR2qCrNaEL+jumy7Gfgk
5khZ1vk3KmeNqw42ZXgtx0YSNAS8K9W8ncsQDHBN+a2xRMKvV7lgJ/coonuK9jpcsMAU0wNi5f6y
rhWbnhdDSJqjM8LyCyTJ8TIzoiq+leLZEO3SxLKYK5lVTTKIRkqE0SM1IShd2+o94L6ZUyhBb7Tl
ELnabQltRJS8cl87xlkvqmH/VBhnokbGwEa5LFWidJ6iXNOAKTTxdgo5Yi+KWb+alaa3NqqowAtK
8ZZIl11pIurdGzhmtnZlR/3VHNvKaqqNnEibkBtz2GdOOuXS90Lr3+JH9Er+fkX4nqFV5w/1t3et
XOKnXywLiibiJYXU8pR79XJdsKl/TF0WsxfGOz+LIM34A60X4gAyJd+mVmp/2ESc2xZnbSorENr/
RDeAHOpNEQTpQuB1LBCbBogeWfz9i1rZGQ2JDFkc2VJiqyBfuF9tHOJbU9zD/el2bqsWTaU5Sdzm
dDW55f2hauLbKU4YXJweilw8H3kF2gKKl3huxtMj1H1/ngJiIHi6xrSPedaq70+expC+conP5pHk
4a95PtvTw2q3rcAKA1pxc8nCfDAHc3yTFWRN6XRNVS9NZIw6CrpFZuJxuCrLlC4K3SIg9xHeC8Iy
PuUKkneXUKH+U0kbmdG1Uc6Tp+ezknpSU+UeNG37qCV9ea9lVXwvGaWxIUKEiF6lT/2DJSuB7aZ2
HO3nhqmQl/lzBpY7Mn3PKdRtHsiZx57f7WXJyi4sM++vMtpeyxqPmQ4oN+83neQbIBcq+4vKgWhm
huQUs9vTnR9dy44My4vRoF9Jil3M8OmyaJPW1vyYqZK2CAN9anJvkiujBhTgGHHpu7rWJcXW7rV2
bdR8Ic2ChL7+vo1qReGgT82kx/il8iVLH6sVK08vIp2Bp0IuBe7GmRifSB2sLbmdL5u6JzHEyZtL
h7ySVUw8Oz0ouls3MBEuHK0p6aCfokdyKejBkDZiMhOc4knABhFVYovUkoQ23c3o0N/msNIB4hxy
OUo3spZjIJFs6Gvbiqn0CE0ch9cT4aPBk0OU6xqxgr9KoxAca+SoIca3huOfVFsLEp2bO6jmZX0g
G9MhSqn99yzzvQGtcbr4eOVa0bp+jJrH9wIA+eEfCxceVObKdK7lU+rGG5qXgpX0TzDwiRr8o3sN
JwXrnkBB/vypH90bTkH4rw1w/xCDT/jLf9C9edu7BjLGuJzVT0QIoB/khb9ctoyUnOrYr+fD3H6u
bJ/syj/vkL8lAYnf8OvEJGSwOr8DpSUmW9ZFXbyCFwvjXPpmOZaacoAKiKEPICHWTAN3xubFF/BO
s/L1O/nrdTg4vrwODp6yqiODLpSwdtfng/Xt4wsIGumH7+TNbD+giwAZineijhac9FuLIlKaPEfi
yNcvac95TX9fdpsuOrbQQ5ToiUU1wDtWXLb5dcB5rMWpaARLG9tToF928fWQhfhV/iTO/u1HLuQM
H75SOoYvPwstknzcI+Kz0Ej35WhVfu56CmdFPww4LiFUuNH0bEn06fijbUa/kaOeMifefumYLgyB
YsUwJLBBL18AIHml7WVrOkx9jLNZcer0PNFVjVqz1KvSc2I577bQFXf1CMSzG66UFHvjkBeY72Vp
9sDh00YpOU6u2kDeDU5LUyTNwNBou8GXGyD2UqzcjloWr7XEiW36CnDjYcrVZr0t6dmpfbXC1bhg
IrwO50NvwoiDOSnO3p05r+vROWYQNud45Xd3Iug5aG6awN5rWJdqjLM9LW4Vih2UK8b0lI5xuUjw
CpV0QkzqyZljajQpANq6c0vOllA/p+quiTNEEegfhvxMafVLFGExcK0+V4vbzEjdUpu1ZeHctLq5
QNyGsp7i04gCfQH4nsQBm9q4SNJ7BhhultHsdwwIedjyvpOt/vYWOWlpf31D6BxfP/j6m8eFZPom
xjw9H+S1tvG383n7WVvb2/rQuMp5u6m8emkvHG9aad6u3qEDW4z30hYC/lpem/toFX+Pn/nbFyQe
nl+v56+PL4e4l3eMnqadlYlbtki2BcmVw6JuXLQg8vcN62+vI279j67zZsGzo2xOQ+ILDxKCs5vx
WyUMuR7tVs4jH68XJ8LU20u9fAjeHgl5XbXmROohJD71mIwLMpfRLg4NxwovOFAOfXzB91ZA5qSc
Q9HJUqG++UozWuWWlWrqYYgbN5+/9tLx4wu8twC+vMCbz46QUE5jgaoemn4hWuuD5AGc+c27+N1F
3qyyzuiYMy4D9eD0Z3O1a80b1fzy8ft4b0t6+T7eLI8TezVjO0M9oBT3xpT2t3nlxBdOOH5/L/+/
67p99FgXTfHc/m/xmx+LcqqjIGz/z+v/bL7/N/w9IZx79R/4hBFhX3ZP9XT11HQpP/r9gRD/8n/6
l3/O4G/w/v73Pw/fcCstoqato8dW5TRzusKv+bwQvn18PNoVDxXuxPd/9OfhSP7DUSwEx6Kt83q0
z2jLAI1BQccZ9jte7sfhCNQpDSDVosqSVbKXeLB+HY6Ahv/5y07dox+fxPH7k8mH+LdLBSSvV4uF
EIPL9DpNE/+QJnSFb7YxjH8ZBIapPkwQDtAFqZ3CtpTDq96alAeHSGcpDK3wwjTI85hN47JCB0Oh
JV9pvn6V1N1TwTTfHcdwizf+LLSUFTDQc9LFPamfd2lOvlKukPKOUrDXR+SA2rkMXsrVuuyCFtnK
JyC9CaVVMUmXZhzeWlP+2RhbD/z4k81khbYKOKp8m3RklUG4oc2pbQ07/FRP8MR0+XJK0otuihYE
4VyMVk8QsTmS9zlT+CgefNVbo0LOyjtapvXw1YnavU8jn9z4L1qQrvu23eW+uYKEc9br1YUfhhdO
wXwA2F0Qlhcd9nitqPb1qH6GaLsJFXKapsmVkuIQK/EFp7Il4ROLqpkXodzfO1FzDMNuHwyT1zO1
0QfCVVIT6jL9aOe5qR0hUh86L+y63ezYD6D+XRiPn+O430qNsyCE4SoMZlq18SIrSUMoa7IlAMv5
Y3QIDGuDRH+hxOat0WSbeWquMrv9mqvjhWTnF/Srznsz28Av2JH1s+kqHOtB+WzF5QWHmOUMe0sL
9CsrtJBUwgRorZzOezrsk86SSGMgltVPHrRCv3JK0wvRcrhsW4dOas8DNVvMQb+tcYk3lnQVO+NW
kf1PupBGOxqZi5HiVmG09JkWMp6RK2hh1T6yUxAkQzVeplPnL4rIfLB6ArHLaiTVwei8YCw/qyqz
nWwYv0KJc0QGwv9l7zx2JEe2bPsr7wdYoBZTkq5VaDUhUlJrza/vZVE3q6OisiPQuD14gzspoJDI
pDudNDt2zt5rh3K9+jOMI2jtJtnSE4x2Xdk0yUVfFjTQiW4W2gabJTFFIND8YWp3hlTKm7LuM3GY
vEnLrtoXgBq8tkZmoBDteJqMZfCHGc16NqHmc2jpoZlbkhtVUekjQuJA/LxNCqSUgHWgF8ToWAqY
gR6JXUAOKguxCVB8r7dGfRsMaMFbc76N9bn2EWAhjdDMdL30OK0poxgQhu293XQovE0KtiQDc2rP
lb8Q2mEA7XYk9U4C9F7amo9W9rKoxlpv0jOq+dEXYRKIX37Ei36i3f8o0eRMTk3fwZaZdUaBFVo6
zQxXcV5eq2X+AMYm9quh7dwAbKmHpA+Pe6V/DUPIMHIjKPBtDb9ed87MPQHsTMl3R8Iihr0794YB
HkGq2j/CynkpZvUej9EPPj+Du1JuUbtrma9VkGSYOlQ+kWmRS2hG7A6VgjKk8TU7vgxRvrfz8UGf
5p+9JRNDZO/1MorXk9Sv2BAe4kVdOXlWn2caQ+t8YMSo9pJ5KrPglogpLHd4D1ZqNID70WFO4mV6
Gumd+m2df5dKu3TlCWC/xUB+naTTLpCyTSITW+wsA1PvCN1jN11i2frKzOPrpA9Ebk05z61lbjUT
9IQVZdvQbiQm9SrCd2YqtaZuglJ96mpGiSxTsN+NXRz2LUV0/DSHiG8dSf8WB3UOZydxQdF9lfrG
b1X6rlMg+3URPGohYMcZMsSi9rKnQzXWekn18NeAGW6qu4hQcF9OsE9PJr/7FARPGhNZ0uEDi+dL
W9ephGzaGXlF43TGcsJrCbyIMBNN+5nLKFeHIBQqXUryNAb1m9e7OF5MPtuwR114mXKGafPSM5PT
dmMkoxscHgpZ3nejvbiAamHSSDPZJ/J0TCP5dgy7g1FEd8psQS5KTL+AzOLa+qj55iQd495W6Jyn
90TNMXzKK8vPrCrrb6MoLdbN2IaRJ5XgPgf0wZ6EfXankxjGvBKEn0xmnbwgB5gL0rmKNi9J3FNR
fM/XleCIWcqUXcfEL/xZj/5fFyObH6Vwc7V/Lz7+v65FqN8+rkWOfdz+v8vXuK1+16zhr/+qR14z
V1XsAA56J8cWzYpf0yfqEY2ZFJUHHHWhtXnbZabDTPuGP7CZFGNB+6se0f+wqV5wJQhj5qtd4V0B
8lFB8vcCX5QjRCzzH9JIZIVp1rsDRaMiI4MNEF5CJGqtCnfoM0aDbop/482hhTA/G748nWxKHyhn
Qmz09hyWK6XsVNk8ncPU2hVR76wnVU2atZVPp0ljno7pnPRgnl9yhKUKl4zS2cat2lUxHNDOMU+E
Yjgtfd2gPvWNZNeIpTWzPglk/LTSXzOLZcxeC0poeVVWo1xtUyBRq4ZyZTOJpGNyh1RSIU1lw/vF
TicSkTWzQkgxmFeJSEqG8gcDSqQnx1KIFShsykTaFK8By0WzRD9zOtZrTUF2mHg2IowVYxtdTUhX
5f9WSqXnELf1XNZuycMgvp79tr7umDqD+VvWCwGDrjRFT1qlHKIpalw5YwVKHaQxQ70ZII6Ovam4
Vied+2h4MFLtrnba2yZdjmExPJhGXtBWIYkujfVj3egr4pSOEXZTBVfwDhl07IeTeRiZvVFj2uDV
SlT0NP1l9oylnPdk2z9XSQIwJ7NMVy7rSxObyZZ9/thP8tfITOdDVIHL0snadO1MQQxBJszsEN5c
mogaOHfSY9JyZIeTsUGftRzquToMgbSZ8hQqZxxu8sxofOyCXrhUq3qMT/koGkaaDhA0qjbL0uyC
Jr6JjJp9pCCdBMgSBY4g47bKrmgnclKi/LZsukOkMTWXQBx9m4eU/bAJR4988fVU8ahOSryC1cs4
zi4AiwS7qapPo050rgLmx02RFDLBHcBsJcatoc+lq016v20LBNhF4CCFCnQU8HN3qs1BQhja7IZ0
mjdlJv/Qzf470k7SwDIzP2gODmI3So34uirs3FcmPTY8Be09pxBp76SJsmlt+VsqRbvFlM6dYt13
kbTJImKIbdTuQWp7vaYc8ThcDwWC8gRJVhOsWkXycnNMt2OmbuyxU4GhceONwtq28vCoCEF+ZYQ+
8YsvTHJOpdxpbtxMezqsVwv/6KAUpxwZ/qITX1ZJX9RW+SFJ067Ul6MWSFvHepiCl9Je9lgb7bUB
B6+xjPsaZ5DYrAeqmb6zu4Oep0dDna/CIFE8TU3RbKTOM8aAZw2vDVNf5ejoReiN+gVeJbC2yIsW
ZCIGWTDAee/sqb3X04EARxoSRgQScxAGt5iiPR/iQ0f7hTMZOt1Beaik6M6283ui4+A4j2tRKxOK
s68daT+R3kl8q7mvE2eTmRlbq4UhsFTIQ+/17kYfkz3f72Ak8gu7PWI8jcavUzbRWtUqbIn6lG4n
KVefy9G2nlq7jBvMkXMABjhIb6bAgvs2ZQoCsgDSWdxFfi2llGwi1BV3PQYLlYy6kdfiOFRGfO71
Be9o1gzEK/SVKd4wxDx4JR1REtaB/XUhOhnQsPkgUZ2shtbkOFPhPcoIROh0p+VhJoJzmPvsMNuC
v60aN50M/kKrx9oPh8p2FSU5DOV8m1fp6MLqqyjwWvwdjv5kmrcJv7xf99LiW1Nb7G1ONqeANLbV
tLDTp2b5VQeagG1mjnjlHH4j406GhsV9nHHIzuExyZUFnlhwnXbl135yvAS1oJ1gGgMYeCvct5pW
vbR9yqAu2Q5J9xMow4Ww+mQdBrCBMLg8q0m/Zsr9wpHR7e1WdXWlFqNGjO5dS9JTYs3HNjD8eY5J
ALBWSa1+z81u4syBmKYYngd0dYbeVURA9C9tp6+rhp85HYm8th6Von0weg6hSpm7zpTcTtl8LJxx
29UE1klj8hhG8y4eeUUn0EhBvglz2t1yZt503XIxWvN5ioxzmeierQ+P49LgWyv3sbUM60HndDPJ
jcevsSrM9GWpBbMlMTe0StEOZhxVOzvehe0Urcg0Im/WMG8RTnMHMyygYWHdYbradxr0VtBPgNwj
Tmy0EyXseBSE3bZMwkcDqperyc3WEEkd+owMbDppBd8+j6yj3VvbJg33Smc8O9WAWqH0Kju94Gff
pjnCKETicJXTLxK5OJCut32GFRTC4he5S/fcaz9eJrw3qrPX+/m6rWQ+po6xWJa2jWG+BHK1Gzjh
691wS2CIj9ZkWbfoIt08jq5kffpJEJUh8M0vsg6dXV3iEykmmzqo7/KiQyxVlFtwnPUWAtx8VBTQ
36p67Jv4xSQAWW44GKhq2a2LXFbcUtfHK1mF+Az6XVuldvNUyFG4lmT7QrYVIVVFXR9axSK+KZry
NcLUb3GGyw6EjfQ0VibPC6Pe1YwEy9X0OPsOMNTyVaJfTH+c1dOIffvnm/rsX32YD2XnDhoeR0Vf
Q2+Hbo7oyryZGCmpoeR5EUjnJLnHspg6X3Vj8+9dQlRaby4x8xSbac8l5BpjAyf46gLw5uNrvOsy
UkmJr2EKMygpGIb27muoaj/noxOHF4LvWRyZsB2n6Q7a58eXeccaeb2MUGAzPTFVoX/4+1cJy2TW
rHQIL31OjibnzlblPazve/1qHBTXbDn4GH+Syf5zlBAdvg+PEhAv3C/N1y/Nl382NsVffnOQgASl
IxdDhP+nJuWvg4SMjI2oJhPXEgBsQcX+1dg0/uB1RZtPvpJNd1O4h381NrU/hPAMwa9GGxId2/8K
c/GPgwTSf0E/5rFhVmC+fzS1SJHGjtrgHMEmbc/T9PzmtvzmDdbfzT44qmAw0DWas5DXHKIT3x1V
+qDVu8CY+nO/GCLr7idzv3MWJDdG0/3ENEh2chP7uY7aVZGKnWo526ZOsO1VRCBKJiDXUdsUVrOV
Wvku6aO13lbfpQx7jOocOedPXtuxBS9RdlEGxUiP2tDV2iWEgovdOiZcgJvoGVGdM8Eq54XkCdnY
TWKxIteNeGexfiHJs3xdLGq1mpH6LhY6HVIyY2oWv0Qsg06qf+vFwkilGNK6iOoDyfKlGyr2xaos
aZWxoiK60VZIhuj5iOU2mUYF1jBLsCIW47kpDgQvvdD0pXID6SmW7VEs4BkreSGW9Ia1PWCN11jr
7SjUiJktXiSxDSjsB3kqXTqxQbT5Au8DInBYdbcWk0aJvUSrnZeUvaWo+n0nNhuDXWdK7T0eT8bM
S+MjPN/XlvUlUIYReyniYeK8+zT+0omtrBWCcva2LEwuEnsdLAQMnuozvF2CBaxtXhtHXWyOjTqc
MogZJrtmU9VbECEW+4vzkIiNdUmzq0ZstS17bsfeS4NPKIuTvS7pd53YnlWxUWuLfhuLrTsSm3jP
bj6Lbd0QG3zATi+LLb9k7++pAUZqAX4L4m8LjnO0tfZATT1o0Y86pOWROsKknmipKzhn3USi0Oip
OCx9OJG5vSsxQoRT8hgNNOZyapRsGI+Rmt2aonhB8feoUs0oVDVm0K9Lqhx7MdbS1LyQwkkaceds
JK19Lvny6pxP2FOX7zjlVxiTPVzYvpZOx2pk9tzXsG71GWdy91pwgewNqcB4C9bY+J7DQFA2iClb
S33PY1P/nKnebMzAOtVc38jPEtVda0EsSan3yEzzZCP7uog6UBSEEZVhmgjkpigWdcm6i6ge6XBS
Rsb4X+UczbeCjEsSxaa9WAb54RSgcWwuxIQqg0+ZlFCj9qJYldQGcZcoYJdkvJWpaKWe0lYVRa5R
YwLk8HsziQK4F6XwEMrC+a61HKEplFU9DlYjtXPYUUTHVNOyKKsdUWA3otSOXqvu4bUCz1+r8XyW
aJQn8RCfJ1Gu15WJVJZb4WppFXoE9Yiyvox8PbII1+gledUtWLILcRAobZN4wryXD5UpsMizioqi
OXQ0Miu9os+AVNZVNOGFU+t2yzkyWYVxfyQWgAjWtCo2CrnIpEk6q2VSFbfXs2pVdnWJUSXOLhaC
XMDBUnu9DALLHVTfjGV+aALti5XWW9a3UxIpuecobNxzJh0D+uCiWw7f2zQmryOX7rY0ekl47oPs
sQd2PA5wXjBMXXSgsKwsXpPoPojP3i+r4mDVFguiwoe2xuuiJ20AOx9DlHkf1sEWc8AqAZ9SUS3g
0dlERnSSM/kRpBhNUyGECLJNMaV4SQMDkX7njXZgIjWAZhzosfW1GumsAooAgK7XY36XKjlBcLG2
0eAgeNpS2whZF84PcdycFjs9ayr9F6e9VmqzJQWBUxf4XBixhs+St1NJO1qFGpqKbB7uafjc5Wru
9XjZM78Fxryaxy53WHP6/Sib5UtBfC3rr/SzbiPZn3scn1xO95uKoC7I3g1q3NQaOLpEwwZ67rxh
6Y8eg5orqH12V+Qahn12z32Pn3GfJeG5gLboZYi/sW2gbtNL686oSwodPRF8HrXFMKEHAXi1+s4M
5ju7MJanJSjIdOjLdm2Qw+Ra47TuONRtKnkoNuVcl2Q1AQFD/98/NTEWy8me48XL4jFiV4q6rc70
wk1HbI+E2/hzXj6bQ7UriOyZrBkTfXmRZ2uf1vO9HCWrgeBUF7r7fZ+pd3ZfO4dpnoZdKSWNXwbZ
7FV9AhBYlp81dFg+7Y36qTcrxa9KLGFpxINuAUV3pUB7Uienuw1UY1rbPZq9pJfn1cfb87sR+6uv
E+Ir+jGLfA8k838vGcGyY44Ok+LcCfLUtOwMc7wem3b98WXeC6b+dR1SRgws0rz274uAzlryNIyK
c55lJwgl96xKVzY8dJZLNN6zww8wZ9uBpIHMTretGmEcVkl0Kg6sVEeUL25CZhPsixuzlldaRPCW
g8onDH4Q8kgDnVdAX+yzKYeUa3/Vdb8pYH57h7ALWLD0DDiBTMDfng+MvC/jzkmL84gNOpwhvue4
0z7R4Diil/r3Xqv150kHmwMwCuvd78AxvprztB/OFamALhCTHf0TnR5gzb4BvlhQtJ+kKiuvAWTS
25N3oz0iYZorFipNvl6SHAT20l+jSnNuC3alvhzOkkxXUSdV2jMgYgiL5TmW4v0UMB0ZVd4bM+dA
MjvGcmMo2Ze0yzzAEvFmGekytIq5iohbXKWd9k1CMYsrHD66VpuYrB2g8jVWs6hJXbYiSpvI3GGC
/oEr7ctkYaozSH2crOw0L9bgWtYsbWVlTE7Yh3N3mfqIuokpXOQkFlSO8CHolfyuHumbOUoIKb8C
C0Ia1tZUxtVQssUpQKTmxCI+WFYvhmwV/rQgmFK07BjIX3p93RvWjnXx2ZYybGSjsp0T/TkDXY63
D7NZBZBFo0206JQeE6+Zb4VMyuk7bZuOBIJcmfZozL6ksRp9mzNjI5sMsqwsOqklmi+trdexBowF
OMpNbprZ2cE9pZjLdKit9hMFFBPS3zwPvJDCcy2EB4KB8PapwzBfFvxZd7YU9YvmtEzmyPg+m4RI
EsYbvYQtohuoLJ5iTr4dZ43LinriruCqi1LMDGF76qTFxaZ6Mkr7SdOLaN3mRr3ue1nfoXgh4i2m
GTrYg72SSz3fqmzq/qjEtc/Yj3qEhUjOywKXaX0LrmvylKil+Tcy8MNwITJe12a+IGcxvzhCPTMo
peU1uXpvqjO184yptlN8jGgIyEgEYEpnPuGG3Y2B+h1ccgoUnWXAybZmMd0FTnK0hsarS+0WDy9P
CPa4Wb01huGUJtFtHRs3ueVszLl7IkZUd6kb5ZVZ99SCQOfanhmwLcyTWiL5MoYYH+/nF4lnwqsc
7VnRpCclGmq/7hDdRTDzh4UkNmkqSb1oNjKoBacYcPczuo4GX0+Z1dn2eLDILx2VASFcViE77+40
IeO2p12LmwVX2rcaq0lBhrcx8zn7wk+H9FJG09EqzPVI4HVkxYkXFwSpOvF1WtE0n+1lVbYEQ2QB
sgUKmtIMOZfwMg6Scz3W3c/YkgJ8kIxH+2TddX0KpTjy1bDzFMU8mq22gfjMr0RO9QqiHL1DKtS0
j46SEqxSZXwsCYUOpfjKiAjWjoj7TMmRZxcnTBYPJ9koFYFfACTICNR9RWHXzIJx3bG9F01eET1Y
J36WSptktA8LtHHLwQMwKvTxW5lFdyHfNkFsYoz2FTiILYR8nKr1EaQ+VW+XSZesEhLIzNrr4Xgg
27QGAyjiuysEoKOMH6/C3thySshMsPUg1noL1tR4ZRorKx2pY875tDbndYl0wBoeK1liWiufkNY0
qynQj0k0tu4QBMGhVwfLa0m1JiYgKDbjsPgVdcO2nGHSzSb9u4EqxCqBMZAVvBqCRvlka/vkTX1V
V77pH6mRM2O4Tfuzyb4/tCdSJ7xpEF3WS9qcIF58IooTTZz3O8WblUH45d6uDGoUFZwuWBnK8odi
fR+mm8E5FuETMotPNr5/tpOQo+uGroIOgGX2nic8th0kDnkgK1KZw1UVT60XB+qd0YblLipRpabT
cKgqqBOlIisnu7YN10xKicME5uGRf5cIR+kn/vlrYpeZbGn9gxSXl1K2bjPKN049XteqtxNNXL/o
wnXexS9Foj9KUVbdhD2jCQMczyY3ejE7cCksVrMiE+UYBJui06xHOqu31QKXXzP2vdbtYk09LOG8
MyrnMqYQ/dm2LQmak1rwMkn4xG1vqpTHvGpABga7sSINPQMd0hn5l0WeDS8bw+d6cppHVUTdq60W
fnJX/95vwbNEwNPbmypahW8el9Rk1tUE9nS2p5do+TrbnyQFfPbvv9s4ZCmjRg7TGVTbbZVAodLu
P3ksfvP8vfkCr1PjN18AaWkqp2o4nw31KibQk9skR/OfAoX/UW/3z4apuEs2Y3JGu0L79/e7NFkt
zWSdb+Gontp968acmuQ+nqxPfg3178+4aE4ZGr4vha0WZxiV6d8vNCcx5t+lUs+UMd/Y1Py7bB34
0gojs/foFu7jzvSG49eb2IseptUXut9feaPbrbb7+K6qogX8wWv9+kHf3FZniJ3KCVlGujW8Sw/z
/W2/ya/B5q0EsGetbLjPa8Vj/uxGKwf50ko/F98+/hTG7z7Fmx/XeNdBzojTsNWG+/407dSV5XZr
58pyLy0yNX/zaHhHkno2zjlaT9vi1tjeBT70ui3rnrtsSriaPq0z3/GlY78tNu2FRBYiNvyH0u3P
sjdvjJ2zKw/jtrnP17cff/R36KV/vljvKmhJbeOsIqXpbLjMX9ftj2pd3Sl+7SV+4Ed+vCrW+b7c
XH07rvodFN3JS/aIlPbJGXu3F6zgHn0PvIePP9Wru+H9z/rmhr7n5sSIdxrL5FNFO8eNvGWbb4K7
gqBYlEsuA1u38ZhUbuxzvVVfaKStPr6+eHz/efn/fo/erTYsNdLcVkg45KVcWeN4WEhCG3q5/GRT
EqvKR9d5t+rYsa0Nw5LNZ2pqdxi/ydN2NL/O4FTkjlbU+uNv9fs17q9v9f4wKTH70ow66c8Ykzn5
3VTh9b93gXdnPm2yM9PMOUClxkFN6AM6lv/xFT75YV7lxm9edymv7MKaedHK6tySp1ypkP7sT36V
z+7Tu8WtVYhKHqykO0/iVwHQzJDW+/e+x7sHrAeB0aNbm8/jMHmxeYYL6gFV//ginzxd1rtVyQxC
aaY5x24wmZ7uFKs06y6a1ntEIpO2op4HmFgfX/K3v4/xKkgH9gM+7u/7Alx6Lajirj/r+c8mWada
RJNv8/E1fvvzvLnGu5cmg2om1ZE+nUEv0r+/zvNPugqfXeDdkrik+aQlMLnPMos20/9Uyz65Ta/7
40cvvthQ3jzHUczQJ8h4jjkbuLUX7gmtO3FEwCnkRSsmkW5++PiuiczND9ca8a3fXBJ7L/wcNWKP
eqIxXLCqnkKu7Y5f0OrsBvcKoB5/4Bqr3FNc+1pyb7qV2NWvnusrbc+pHbLHCt7ztvCizWcf77cb
+dvS5f2TEzejrAS8dMpFbOSSCyRB3xWK56Yb3X8s3D2QusNPhFu629zPBySqn6xeQAs/vkPvfvdB
as2odmZqCX/w4ZoTv2i6ziHzb5yzedQ2vf+srgO3oGO7Rl+++Tzw5LOP8AoKe/MjSVAz9WKsujPw
THfy6Wwm3401ILtD/2PaVqv8aG2kjfQzfNa8aZNegGn++OQ5YeT60XNivXtO0kHL9bbg0WzW07p2
FTcWVd0u9e6GHYh+BNnucu5y91HG0Zavq4111buN36+iHZDdl+yTlfL1YPaPV+W/X3dDfN43t8SW
HGZDBUtKvdI35oYUuGmNvvAYHxT3G/GFa4jnu2pLU+84edb9Ch8jP1G3Sde3sS+KhH8VB/8Z3Ws8
8H+1eP+BFheoidMX4K//HNuLv/hrbI9ZWyY/xTQx+wj+DH/019hehSEO68ogaoKW9lv9r/UHJAmV
qb3wu0Ic5W/9Gttbf+DwZl6BBOT/xKxNU9BGN2AhLlDfMybod/V1bs7jRS6vGpIa6Yz6b27K1Z8P
5lvpDZ/07euDWRv9MHYng2/I3F5/tztBy0q13mJI2eoJmqwHSb44xnWrb5UANckZSPfH10O48MkV
xSd684Kok93EzN37S1JxVrdnQdue21LN3TIsW6YSpb0fOqOi02IEbmuuzQR8XR3Qzl51eYd8LSzM
lwnv+c7UImYCdUV7qy01V7Ojo1FC8LPV1Ksa+fsgpT+dSXoSATClQrqfVeqke4bMpAp6v4zsI3vV
MPUnwS0Otzp7f0vG59rgDAkoNC43wTzRGp3ixLWaXsNjiTiQtuOtNNpMeOIbG48XZ8/SteLhKNUB
v1ISk1doQ+uAP63PdLMZtQQBnkOiZrdlqVwNERovOqSF3KMRTMJD6TCl1KT7BraaOxQvw6JdTVa0
HaylXSldu4k7kHSVvY9iY3IjsxzXUtW0myCaT/TUllurAwMC+QPuxW0Jpmxr4rhOSLDY1mYkddfL
qwW7z5upvGQ4izuU4KRHLHA7GKX7yLXrr6lsH02Thp2eHysr3k3pCN42YLiQnufFfFQyB6ocTAkX
cOW6IUeVKJXvGWS91Wjop6nS94Gq+UNaHbtgXPX9vJu1+Epeaq8IkMhNSCDm6djbTel3Sy57oTEe
2kF+rHsVrXApWILLvZHR7A/ymSDnvrgq0m7T2+M5XdK9TBaLOzFIRj0Mv7Ce7MKFsyszhc9WbWLd
191Mbpkkh2s1r2DR92MHOEwFRglH/pjNJaMGWz1kOSaf8aJH9k3bN/T2I4Kgo4ijd5Xvgyy+6gvp
dhwK5iz8LKVgi8WOa+XddyvqF0YBybUajiunz3uOvYqPrA1f93zd9SUdA0gE5qhvxmZYy+TWd6jp
ckX2y7K8XQr9Kg/q2hsnAGpdlg430xzdQI3aNXDw7cp+IqzeY6rS3NEKxUEcNz8LbeBpcqCiMaFd
8Kzrso66efghj+Gh6E2/1pXEYwXbqbmI+dBiNPojTO/wKoqHk24k29rIN5NsrDKar/0UHNqWwGmD
UfnSAQ+WzqjafHWUdiwU17Md4paK8X1perCuHe1Bb1pP5Q2BtEhkBiml8zYdDXKLs2JdYQtytVna
p+1yB/OE+O6sw0tV3iYDfMcEMVof4HzubfWL0ydfEss+lXWGMiIZU29sm5nx05h7RjDY29dl5j+b
nhCPfbjpoVfzst+r1firf217yh/4XRRQSKJUQSf+t20PqRjYNM1AyvaavPRLrQaW2yaJkB1PfyXT
UvT+2vZMbC8ifdPEJwMZiUnW/8b28k81GbYaoG82YDiDqwmGyttNwlJCJcsaoyQ6FEGB2k0i7ELY
xSCquuoUKsyX0nWmEfmcF2qFczF6zh1rj6J9bTsdRgGIjn29SwzpskhgGxEeeBnpLUfCfHGqxs3D
LOtPtlPJvt0ihbelbjXM6Z3ZBJcExg9mvpDRW5lY11MIiZ6Q3qSSEX+ZMq4XEVKjkFaz8JL5WGOH
TUSEu5caLEqF3EVeTM7NkiC7UcLZV0jAWYISMbwIxelFPI5ETs6E99edZ/wqJvxGPxJxOsMg3w8i
XyeZV6MI3OkcncHQawgPaTwm39OrREBPLaJ6oDW+OgABfBTJNyfGoTmLaJ8+RxmekfbDmhPsMhEA
hK95VRaSvJGZIB4MQxqPQQzPPyAhydOb5D6uc1TTWUfvEV1YCSRSZAoxWdTXndnf4ZJBk5HW98KN
VNXKSJ9+POoT6R1aHQjnXtH7hcT8bNRl0pkb7mla96eqSgj8nMtsjdxmUzXG3ijUhzwZ8N8LMMkI
EmNhimtpNdPlNP4+YEsNi+W8qESC95auQWpsnrJO8oK+7AW6/NhHdoK0AsQ5nVRPWnBHlyJsqi1R
T1ddovmZau6SzrxOg5l51Ej2ubqEq1rP7fUold9qVUVWKLdENcCrraVNKefHPI8vlCUHTUNxxpni
UA88M0HfXtWx2bl2yq2R8QqsdCHMw3DRJv2mrrWTZUT4p51S8uohKbepwnywkjZNIoGAKNvTQiSW
azS4HXrbvEEFfcJvVa6amV6KnusMDVMyjrVyid1M72BFpLLlZiMWlLAFDzVF6yEpTqEevMw1IeSZ
ZG9CXGG+0ckPel2/JBr54kqW+HPdmUyJw+sQT4gyCXvyhHfW+d6YY4UNp+UetuYurDEmY10/dn17
iRncStdlaWXLj3nKiEzHHuqk1QNg3RpQMaHewnBboFzYJ53zXKbyTWc03+1q9poamPkSrqnH/Kod
iU6T1o2sHsosOsdluZ+S9kyO9tVQoPdinN2zH/fjzgyMn1hxeiqxUdM3cc/wD9rpsNyq5nIKayob
BVnOOhTVzqiZXFffYKndjKIeQooHvVa7aoznVtRLee/cF+zUCIcOjdpQfHUGhk/NDavlql9UXMn4
Q2ejv2axYzrd+apqoLuJaSYFFGxa2x1tUcGleG1KSjpLsbxgDm+XCmWcKaq+SNR/atPxouRWsXFC
hQJI1IkaBSNCinBbixpSFdVkKepKqefJKSps1YWoOnPKT5sy1NKLnyVlaS7qU0D5D0uBBkJJBdKV
GtYQ1azcBJaLPf0rUqDg6KTRKZ5slglZvsrLnJfBqpULiNQf2mJNK3kZf/QtAoDcnG7gQiMOLYYX
tI7rWpef5tg62Vm9RleAxomKGQNGqwNmDR8LsGN+OrKH2zNW2tKXq+bKiYldM5P1IsoYow7OCQEh
fmym27KYnb0lGfc2lnWujDTN0e8Ucv/Qq5VgdtFtrKopmVa1pJ4mXoMrq3RuKEi3U6bHXpExKrUy
1VWrhBN6qcGctDpUsBb+jrTVPSeuv0Q1aTXdzAzXzLIVaLefofMtJoyl7bSblHvCPqB4akiiW5fZ
V3mnkkYv8SsOCAUwDjc0P8fYG4dkE9UoVeMk42TRSd9j/jnbJtfDEAHrRniOEjWFuBYPB11SihU/
6Lw1EHxMBUPGvIr8sIwVv7eLrTMhn6NmDXdTSUCLBGCNeB2Mn8gErBe5XeIdyzH54riCQ+Lkpai+
VeNgA9GkgZdg9iQSoed0wvYbUjZyixjrN4YFy66u6Wch0EEqTRL8dNTlNvEkrd70BYFraXXGa5Tt
KmW8hN10I8/lCqnYjF3DOpS1s5UQdCMKnfv12Ks/UgfbOnFn1/hZktWSAa/8Tz3F0ZdzL121/7me
uusppehIvYehiL/1q5QirATPikwiCDZiznpUWb86CJiLOSniKyYrhKBK0eP8VUqJEEsR4CoLXBon
fP7oVyll/EHsJeI5m5YEg1Eqvv9i77yaGzfWaPuLMNXIwCsBZlKk0ii8oDQaCTk34q+/Czq2j+dc
X9/yu19crpkhFUh2f2Hvtf9BKaU5vw7ITMEXdlWDrGX+i81ZLDPwP/XbuHKJUszL7mbOKEFGHF6Q
Qphzp5J4ph4HaZPh7QpibyqDc9w4g2+qAwzror+ird/bbsBw08Ri4iKsIcPpGHXJebKxQJU0wkKk
P3vRp7jfe1Q1CuV8MGhnWNtoI4QVEnhZXYpR4PuyXgkAeXZroO5O5BqbYHH8u8q8yQxFwY0aAT+A
RACgGlN/lXynmHqtpvKxj3C2lrJFA2dZRHXJfTEWT9JVnoICTyxmHtqec59GJ1nGr23p5FAR7Wuj
m+8Z5MZ1zg9GZxJbW1xSDIbLl3xCYYnVauZpp9SrswFr1fA4aQgGQjlsDIPeSEsIVTOGOFulivOz
jqAlsC86tTJ7GIqZKV5ImnTq3BE29pNL9sptBYOsRnguwkSug2G4car+mVim90CWL0ENRaks3mHz
0RGlTbjuClJgWju/QpjYLfkIRhK+kobbr6vMQaNlpdlqqMr3QXXPEIOln080vtVXhqWRu5u4RklF
dX+SLXJ/I0AekvlzXDWbiQmBaIZD6Lq7xdM4zT0c+eQD3taDjg0YxMdzHs4gGGy+SV4kd4GVD4NN
oLRIagrs2rq1ULlE7viZJW7pY0akSAqE1zUJQQ5CezJC886QU0DBkT4YofbZaVa/n4ifWWmIgzcQ
N59zBU9vGWHwMK1NJ3FokrOZbJHVvTCIIVKz6m60yBQwHOwM7R9JccJQVtacboSN2hDL+raWEeYL
st1XXcWrxqmP1Nq04GHE+qrGOGvFLaOQtjrGQV4fFv0pVhPk5+Yw39kI/IbC3HS1URNMETg8E1wI
IUdWBnOL/gnDOlcRXCtn5k08tbyGuVaF66GZ73Gb81ULB6dlvwlEdz87+iEeuK9tDUB7WwehH2bc
S3h132U5PjsAnFe2Vf0QagnKvQy8ZhipYUTMRKZRvFKJdoLQOl+x6fSFKBG6CZK74JHhWHd3Mhqm
ld47H3lSn5yxJKmsTao1Kvu9FU6Tr3V9sQ5zMvlqk2kLxQ7vxnxl6fJH27mVJxqVELaZwicn3fNo
FCnySSx34T7T3Ej303R40hyU5Vjv2yj+zq8hkBdN2gw0rNjUNxbhYcWDjQSu9JGbzfoKjt8iP3Ry
+6oEUWxdpxrTol6P4Qvy5XWb8RZaGZER3FQoyam5icoaxpUww11ku+F9VIvFv22OtxjqCfKoY30N
lUhHOkqCgj86VlvvO7KUGC7FOA09gAxZ7rcTiX9DRmFqjfVWJLr2nA5CxOcM1wvnTBap/mjZ7yLs
usRLralh9zAEpTtj6DbMeg0Z3g4fhLSz9kUL+hBxgD5rWIpFbgWv2MUj4yy0JldWBKh11b/X5X8g
qcbfXpfM3JfxQ9PN//eVuTzy9yvzi/QFzwJ8OwMDLrv/XpnM43US33mVMW5wA/Ko369MG6wqAZtI
qxgJLNq4/16ZTB+Wq9yhNhdY09R/hHZGtcqV+N8dDs8EO16HZWkxAgH5pf/PlcmNh1rTcZaLKy6h
uVsNXqhM8zPunbjRnTV8DBXbZYORhJNrNZtyX5sqkcuCKXaeD4chkzp5N6jtpeh2YRmuES/iH2oY
U5cFgs8lJiGxkx9D0BB72WOI6ot8wfXwCbehGyCnmNwrbrZHs3Eahsk6JxqwCcQEjwCMSk/ET0Gi
P9C1FhdbDThcRpryLia9SoBfOOQZJguDaJPUdW9pXscVzJkPVWm6TUi81kNBEclS5JhU47QRY7FW
2vGOvv4yLnUn8IubnkIUisXWXCrTnhI1t5t78hOZNE/luV2q2FDq21S4ESmB7fu0VLrE9fRre6l+
dcpgIjzvDXfaREt97BrNqm2aeN9TOqtqZDMJHVjqLzkjM5uxr1J7JLhmKb5HlK5+1iAzMue74KtA
X0p1eynas3gmUoU63q3ig7sU9gkV/kylnywlf7wU/1Tw22FpB+qlMVCWFkFdmoWO0K2O7kFf2giU
y/hMFps8HQYwq7uy/anRd9g8Xbc0IvHSkkRq+xZ1heG1S7ti0LckSwMD00CFN0VpsjQ309LmWPQ7
Dn0PqJTyWufquV5aIrE0R/HSJrE10rZA7R+MpYVKe9d36KmqpblidADJjHbLou8SSwPmMOAK6Mja
Ul452XyZEYRBx1YurZtqxk/u0swVS1sXLA2eS6c30/FN9fQM/mpDR/1qLC1hrvd39P7MrukW+coj
iS/ZR780ksXSUtbqhIORJjOg23SXtrPXmx/q0oji29SAP7FviZTcXtc2OO31VLQ1nSf2G/YzUJKq
m7BX7EO1bG/Gr0WO/bXU0SvIq2BnmBU4w6E3ddJC7U1TjbsFXz2Z+uDrQfPiGgNR01PB+qXiSyDu
BuS1awZEH53Jr9gJg62SR/OjXpXqytDA3OmVfe/U1lGq00cW1amPg/wuC6LwaM39es7J4IyAwrkJ
GhLLmBcF/c9krlyIafZPkJnEvXH7w2x3W79U21vMYfyKm3PAEsSHr1AdSpsZEAptEqVBuZAewDvc
6VbqOPGIsSdFYQgn5NHBZ1YFV0xOnW/kUkD86krP6qCLBnN2rLVCrGdh1buww5eHLc8OisOQaODH
MVwmpNysLEvKU2QoWFQB+H4IEaQPpTAqrIsOPAc1izCf/tvMfTVzBrqU/3czdx+9tfLtL24mHvWn
m0lXCb8DN2oK9ytR+vdmTtO/YWzEv8Pf/Nax/XYzGeo31UE4zX0FSNT5IkX91swZgksLP9F/3N3/
lE9pfsnMf7mZaBp5Fm5IExwm0Kpfmzlt+eJVVmdXwbm1Mg1cGqoxfIdPFG5lrVyqiAUlU4lzmmkj
57SzoyGpcIhC8OtHBxfVwpZwH9g0ZR6xuY4/6W61akNObkffOVm3sWSwJoRoNzCBzHMcHQOuaETZ
L60pSQijddTx8bYjAxubRlB2H3YSrQeIh1LBmjqpFcee8W7BdgonN8ZSU9Idxnm3S6pm17jusQV1
U4L2m7VkreDcWalmf7LgJdtsnAcN09fUGDEMZ+0tgx8OG+sZlKS5sYOgg9uEhbDBv+S5UC+JQGoP
4DH7jRNUR6mB1dGTdRol9yRWV97IkHrdV+NtQZ77qnWqzWAt8bh8c0fdhsk5OwMfzEItVpxvF1fP
fhI0Vm0nDd9NHFLpK1Pw0GQlH/Nu9EUxKBwmyTk1CNyMQy0lp6vKvKiyQUaP5YSfw1nTqx0iUwJP
GrJHZqXKIa8LpknlbdREiI8d96BiPV3h+zm7hfZQMxhlw3HLmllZdwvTBowEwDjnU1UWxpJW3I4R
aw/DcV+SRL1D6sm5FGDDIVkq9yZLf5jz+CUtan/IOM9jh02pHscn1irHpBafZFhbO8zhhq/F3bQm
Vw5DVaDfdjJ6ihK+/3BCFjtzzHlWZbCggHJTFbqxzltwpkkKhzPzh7BZGTEm00mqrBNovmIxtugy
3YKKJnoOpvxubIzRK52KXaXebcMQ3WZdkM8s8Z75Q8LjMkLqGLGlxpaJxKUsnWX0wOveMtlXxxpj
c/WidvFJJvGpid14r+C7J0eUi9HQcD257aR5uaIT6ysr+tjypojcE7Yhm5IFlF7YxjciKV/qpI43
dYbzqYsbfzQK1rJ8oxhHUIBn/a5WxVXTWq8yh5yJfXBswm7fFtVjp/Tbsi3OUVluDGsk8DiPWy9s
e3dtWAMD4QyXqyP6Z0g1H20P1TUZt0NcTYB06mxVWItNlJ9qsq8lCgAvdft7J802UhxqdEj9OVDi
zSRcbOrFRTWLq9bjATbni9IBc+qnfqstpWPXsS0oo5m9Bfsvi/qGN2gceJZChmLNJr4seFIMIpWH
XTpn6cIuOBf9Z5SOqT/mOpbjZSGrp+2PEZrhUDpAT8cOg2qdsNRw3a1amPtIxek+BwYjTI1t/cop
XEzvyki5OuqBh5tn2LiKw7gbZFQ4RoTAB2kCqNL42Zlwgroo/Vnq/TMpJe+zPSRYnuhHQ324Th17
H8J5wEBKSyLl1HroDF2hNUctzOSRs2dJTawY0441ZNAil3uzYIe90WE5mY+9SB1nGxkN8CwDRCjO
o4IYM3ts5rXThaO6dgrFGFd1r+nODkTwhH1fN+f4Rinyqbt3Ra7K+8FtFP3YjR1ydLPIomcCG7X+
kspqV4YUf1WCeKA0UmMTx2a4qglpU5vwrg303pPpeDCMots0SgOaVbGOpj3GPttKAy+09V6TcYgW
wapXeWI8pwoBkFEP0kwVs3XQS97MaeHA2jeWuFqzfK0C4y1KGs2XDiAHfNmfEFIZpEclGoZiAMnF
GA0EAaSLKR3PU9X6Y+wiSq2Us1E0t0rQHXOnfGWd8TkjDxhG8JUtW0g2HWbmtfp4gMNkigFKk129
xSnZs3EA/0Ejw42dLdWcxP2vJTdB656UZHrJIu1zVgXPEpqfaZ/Dx4x9ZT5o05j4hgkbLWzu0mXj
KiIBm8sfs2MW2WeRZtj5x/INT8U+0nUwXgqS3TqeixVvxhvLToFGmC6diKLcsofW/ME2ZzQg3Rn7
DYKZMfD4LVQ7u2CF1IJO2+pGz9lONjkuNHs9s14BBKc8yNSfzfBJa1qkQjjgQR7TUzmpO/DFgYm6
qbvTZ2yq85g5vj7EcNAYnFzysRrWZCueKkfiL3bAu4aqfYmH4szgnljdKri44OjavKU2k2+WO0xr
QhvvJzofKki6s8DlAjGT7jHoCKDshuKJpfIhUVK+x25+xvINo6SzDN4Dc7kiIkjxmlJ+tK77yAG9
ERUBCHkkV1qo79DnPsKp2iqxPXrwFfb0c9feqe5cs/wRc9GtaGxvDAHtzeRz17O2hS6tNiTBN/tQ
6bkS5BAyWHMTWHfp3jWnBSFYeImj1dvWjAcvNlqYGN2VSmRTaPJ7n8OhTWtK6w5+wdQZ4zoVBE4L
1alZ8AUIM0P+1qZV8a0Ua76iqFuLFdZe8gv1WjgrgukTHCN56ApawdpiBdSOjzBMBMhBLkGOrI0S
z+FWGdRjVriWNw3U1oRnZcdQ1a6WKgntbKt6JQuR72eNYE7sfOQbsjL2ElvHmBhfGSejOivBVBRs
zznkOODMYTfnGh8J07lqDW4/RwUYa5XjO3kRT7gCLm1hv+PxfR8tsala8kfT8JmMQ8uXerwP8upZ
lM5ON5r7Ac0PblHIeUx6RRYdtWZ4C/Ns29nah5vOh7CLb4mGBzcrxX1hLIe4YkJobqJ/h0K/DYWQ
+P1N2R1/NH8JT+JRf5Td4huAUypv2Ge/8d3/KLvVb7zKoN9xbREosyhVfh8Iud8I+XJshCogFPRf
KKzuN9SXKCcXEAGgLPQj/2SHslBgfx0IGTZsJ57LBMWkkZvza9k961EeaWUsLrqD3z3IZ1Co6msZ
/iR7bzbRMTRWcYqdfsn/c7XTUPHnjWZfLLW4dISOA0y5yzrYeu3skeA6bts0ei4ac0ui4J1eOOfK
RSPQ2i+sg0C1jETf2elRmnZLRYNWSwu7x2osHghRqVedKxiWMy33RVy9BAkzA1M7mqRt5mr9Nkc0
+sn8rBkKINZRUoqy4RwT20vneNeiJ10lxfyshvZuIG4cwpFcxIYvSV48zk55cpP6GTBVvkpN7VPh
1Kub7jtMEaiCnblpXGUz2/M1dqkx+cm2lZt0HqUVawBprfSAG88Ohr2MWagrHFIhabp2jS6g7R3q
Wud7PdCYVHKy93OXqsxsjWMiMoh5g7KzhpgxDcbJXacA+zRwp6k9OxDrbqi6u0nmzWNmTm9ZxVTG
qp1DGIknkZtHZ4nXqsR4Zk/AHiOE0mQmxU72SkKAenc0jHZvuVix6sA8TOpPOKOvYdA9Tgh5oByQ
AUofAFMJ33+GoCOzjQ/dZgQD5+3xK2xtEEYPXD/YyDYMV9PQWwzZpl3STlv84+uqj09dy+8sDDMD
SF6YWA3KTtk3N3KUarQO7KTcSpMVEbzNGN+7UQm5Lx2EQdJ2UQhpEkxkXYqGuu0rwrn9inPO+npA
yGJqkjNaEPg8suQ3vFwroUNkBotqNt1cm+4572qGMmRHF0uINPIizdcNooJZefF/A9zMuX0HesSq
Pa0/l9knpTuSkSWg2l6iqkMTIslcTUdbt2+USHM8qVU8h6DWVKLnbDReiiX6uh/7ewY0REsvsdhG
bf5MyMmmZPiYJYK+ngTt0CIVm33pGVcxKiC4xc0St50swduG2V9HbYnidtOdETUvTmrKja4Y2dok
t3uSbOYrA54tMaw/0WuiOczYJ0w5fUOxRH+LJQQ8C5Wb8CXr/YJ08AJuu0FguElwuIYuhzHp0SqK
bVJWt71Ob0pN/FgZmNstwscBv65sA7lsKKynoOIiMPkTBz99ONe3MQHmk6G0p6F9KUyTlIFJKY/k
982xz1Ox2LBTX0FUy9yGklyJIOg0I1uigVcctO1dN5XhPo2i42wVN6DOD2NRfRJh2ngZ9HWxIS6i
ef93nPOfcQ5z97+7V9o0nsruLwY6PO6Pm0X9xkZ1gewRF6mxVP/TqkH/ZqtoDH+7Pf60nTcwBQho
FoI5ACsK9uZ/rBoY6LiLKBImNzt1pJP2P7lZ1C8H4K8DHfYfXGHA6QyLb+V/BjrAloDCNFZ5HRtB
4dYbbNMqA8+KMbBAo8Ltp2lcdWLg7kHOcBRZzrDCiu10n3HsPcd50J5ZpyD/0PX6PqEg3Zlj194M
aVD9rOQCR8s4nqLMnpiKqyBgK/TPLCcYLlzbJpeXOoGgoggLeh0QIgfSjMoeuQiKm5TN9E9Hie5Q
hpmXUAWorIXRsJ0dK3+UzmTyEWQnMLDwPcs2sgklKcgktDsl3ajmVH4H1IK4Wm+1D4hZ2bMpsmIX
mqR6FFXQvvVE/q4j4cRru3GHrZ0Qdwtcu7odGNxmXSyRgIWV3w+q0V8ipTD69xLQvnFUi2Ce4DuV
aQfsS3bKhxG6SXQTkRVfc8i3RXOxI8YQdqiO0X2UuHQPQwf+aaa4XXbeJMID2Q4NFhNkmMMjJhuq
h6TlI3TI4qOlFIxh4i6bfiS9VudrbXA3EM/GF2vI9DcCPc0SrIhVbND4cKV01nQvh3J+W+SsyEa1
WMDK4F6JQ9XdBlUf/uCdFHuimOe3oI3mDysenxul3hRhfFBsdgO5Sq88mE21U6oBgJWjdtM2hWBF
KS2nU1qOpExAKGKPk5cgr+MhjEG9SB0taJ8zsEnrJ8OOWd246qNO4b+rFFCnkRj6lek0IHaS1rp3
4PLspSLdx0rU1s3o1sLnNnEF2iqzfAhaQVBAn7k/FHbiBz1DI1KN+YVQXMVvZE/sgsKeaD1kdS39
MYiJUlHKdj9VQXHHVJXMEbrf15B62p9dO3kcGRec7MRIzpggkxfIe6U3zAuPOJ3Ll7kblSNvXuIh
bDKQMWYEz86cD49F0rCBKUeMFvFYXaM+a7yC2NfMLwwDTkvbGsTMkNUpGUSarR8iaSFilbQU8n0p
60FFGZl+sMdBv2V756DJKC31oyqreVMv8naXnmFFFIT572j9txofy+/fnMVl9lb8hdPK4FF/OolZ
2sKusaFrITr4delLHeEAOoVMuoif/lvjO9+Wf7oE7LKHJTeK8v93nZTzTbAqXvoGGCP2PwSkooT6
3xrftu0lHZicKY5hW/yPx9lw8qShV54ujgybKwLs/C5WK/u5zAztMA1p+jKp0t44shdn1moBasM+
YhHXz99td5D3kSgzCPoqp4dbBmtbkQ15OXUEilzcZFnknntdDU6m6Ta3+ih5fI8hzSd/06FwYyum
MBgetblG1AGODhBWSsqKoI4phsAXE4KrpmrH1zyKwgMunxkupEx8VkwTk22nYmg+fXe12ouWEyrI
7UPHJ5JDUhmORVq666YcYNZINyABTVywfcFriNPUc606XWEtIhFm4RS5ukQhk8zL3CRJPqpJHQzi
LAFEz3PIELF6icYwQNDee/EiCi6ZFoxJke612R0AedvaNVRDdE/TIe70ZmNUxa1ZQnOLhVS20grn
wxx2+iGKhL3OEKOrSt3usTi5vogiY5tmhbHuNS0ACkbPwFwOdVNe4Z8q+9u5SdAcZ222AsA4rxTT
RC5NDI4WujeJztHbT/x2lI47Kx4q3c9jlRxSCK/+ZA/Vvo7aQ6clr7Rd4yrPyAFCcpCsQZsdorCe
pRf0vGCMMxo/U1KxCSx1l6BImpQm9Eaz3+YyRUs2d9VbX4bJeZTGB8lXhN6IEJy3yfpwYLGCqeve
0lFj2qEOPmfcan32XaP+dU+GK+kWtezS1+q11JzvImxtxuLoSJFYjZzCK7uGA0eWECVmSjPYG+G5
bRn02kV+bHX1wzTLDmracN+jL0CFgG4pFQUy41xc7NDdIfbbIrA5JaN7rgaxjVQcVnMWqp4VoN8J
EPiG8SWf0SpZMt+4BsS72ZzOJmPWKlUe6be5/0fjSLvA33TBa641P/QB0LkbOe+jDavXnB5rxMkk
91Q4WasWIlQBMfWmTtlze5pude+Gg46eugz+f1COJ3fgzkfaEKcnFTFUB/eLcVrlBrpvq814Ci0t
3v9bGP+nMMZ483eHMWv7v9pz8qg/DmNkNsYy0WDgYn/NR/4QrbLnBF2ONGfJ7v3aWP4xcHGQ2ZBB
5xq2uhhz/kyr5jBm0sJzMRtAZEod+w8GLoznfzmMEfMIKNqsWh3SknUHaPWvAxcMEfBqRSIuION5
A5nLe0lf3lVN0q17gypI5EG6I/WWGajqfg9kH60C1mu+ado/ZJ7d26DY8XhofielwJ4S/wAzu2/7
+pQqCQxakyAbFJR+YPUS8IP6OthjuG21oT3mdb2ve4qSOb7oUtnnnN2ENa3UpkW6GcA56ydGvnbr
7IoYuTVlo61LXw5WicRvvhJuFixg0TtNlwTg2QotaUEun6LyUVEelAgrSNCjo6zjGG2hdcyS5yye
XocQQWxiJndtAwerqVuPnJNjLmqkQnOxncpSO4vKuEQ4MlZCNY4zLtm+6I5OG/ys3OEYE5ypscu7
NUbyt8IiIHOFESx6nxe0BWvaafUN7c60GlLHn9vme6yJnyHrW2Yseu0hu38cbYXVTs8Pkrm7NHXO
UxZGa5WfIRDpOZ6rtzaBsdoHabwemMh4kVaTNmMG6HdYbjZO/sjdeMG5/ErEBEMgWzuNTr2VRkq+
HJT/Ve+oG6cNiTcwL6mGBQqh5q4bVMhBM2hpy910g3ke+mgrpENYnZPcEmxgMBQfT04705k7YMeC
6jmOTN2jOmdw4qbf65b+BlHzszkPx4ETZiXb/LN0mrOm6uEpSpELRUxMCmlBM+6g7Elt1wYMAto6
fNCyZi8qBPqMu93DYCFtJJL+ZxHa92Ewbbt0GNf4Lw5TqX15dT9Go1pafMzJ8ok/2xUluiijd3CA
aPCso0ReWRRnJ3fMH6xTqaLldW1G2BQ3KBGDiB1C+8m8bpfYzdbi1vFk14Qb/uFZ7ep1VULcFWnf
gwts79W+2SZm+mJMKu4TDuXKMdmiI9eVJfTBosiJlo6mTd2mG0NCgOFyXk8RlGHyChwGfw0Dxgx5
Zr7QziZ9q4XlMTWNTeZiaU0pSIx0OCQRpLaogaTg8rs3gqNE10aCT2xP711YNk8RQB4/Cl3ii6yy
sO+0Cnp9uHJQUd4KJph30CCZp6hjvJG62BC5Y606LfhMw/EjMF0BUBXRgajtg12M31ur+SFT+rWq
LG+5t7ZKlN6qaM8IoDE9JBV+NdpwA+3ejzPRbBxgeGBADX44sotstDn6mOxKORrrKKBtdjN79pK+
ZRIY5z5y3I1uTW+jRXDPOL46AVWWOz3yQoOkSxSUysqpqKNtlCr7AkeXlapemGRgqoNdAkM+dQqi
SfBxT8Z80Cv5pNYNWTLwLjWohX1OT6HH9DZxjWkl1UhGsbcDi9m8ynlBvssm2U5jt8G+7PV5tyeg
O2QhaAMWbv0odp/zBORi20Rk2bjkgdYxuVu5RTxeiuuEipFF+XuLlVhIAMqjTVomBRKBg2dwkfuh
oe3LNcEydRh4bSGpI7Xu2ua9a/oLYi6/TYwHEYfsAqfmNKc2umDmwEbKp1Agm6hH1d2oqbg3u+AD
DjTvzp7GELm81wJrZjo8ekqNP1zPr4HABRaRZ5PE6BKduPciozsPdnEcFcAseZp5RujAYO1W0nJ2
KOUQnoita3dX9r9PQqv2AdYYi3jwdZpknH9joQBqLe904L5ePDcXQzBVDZPd4gio4v4msOYH9quw
tOVtoHWHpu4J0WEQPjIsnWdtY1nNWlfUPTvY3kdWP3MK6xvXlEda7I3DqMBzUU/VlfgB7QyCuNa9
6kRveswq9D1k/6u65D+G4a06OyfXmXoQ2mzmrXk4CCv1WB1GHqxyZupKvGSEmt2WPMurnimbNJuu
mut86trMBr4i8ZIutHEUdsh14Q2KvEyyukrbecRsEXm5SajnmJvueky07DnVgwmcf/+ZtB1JY+J7
1hWMeMtT5GILJ9TlDtMaQo3m0wzBTndqdRONkE2S+TFVNei+ffqdE3jdFuZtowRo44X7oljN01iP
R9LlEfN0uY1EjgGuyraL7MVoZHiDX9yQi4vSmPZBjTQOCUg9GTurbdPvfaYMqOgQwmyUWQ6eMzrr
TMR7ZDA4LYccoXYZ/TR6vfOnvhwBgatv7jxf1IZoAMoFdPDQQtnNJyR+1p+2pCZ1JYig2Oa4hKHg
I+p8KhPtWubaHeKjYdWXBnze9p3djy+hf9vKdGmtkS0h51cDOx2zefE4Tsr3aiwfspi58FDofpVh
XnQgYvSpNSPpd/DVU+dnXdLdNqhG1ibCqJ1RCMpnvK2jl6t6H/1/4ETa0gv+MrWzLQw6QrNMdRnd
2f8jEG5rkCKTq7sX9T5fPZub/lp7mPA89+3hrj0TbrQuPbmLT7gP/GhXbqIDevjkHG3/LXD/U+Ay
pv2bAle+MerP3rr2L2a/PPKPIld8o4y1AfNpFpSTxUT+p62isajLDcR5pvo1dv19q7hUsrC5XVcg
AMOYwkT294kDbBeqZqb1pPwQd2L9I5m5vmBnfn0XYXLHaY/OXV3YM4Jv/c/OLOKk9LQZs/LSUbPN
50SrzOQGK1eirSUl7JW7pZcemX03ZlVfcT2/G0xf142WP/Qqzu9czU+11rzAtjhkbXEX57EvFY0w
vSQ4O6Z55pOTeoU9bEO9xxXTpifGgU9zUnwQyzyuyl5rB8wT5a0Zzhs1h40SwcDuQEv7mgHaIZPJ
mekqYRAOQH+9L9QfGsFuYz+E2YZAE0fd0xU08YFUOhluU1VBbCt618KFW+kJ4EMFueLKgqNvx3a+
rW33YGWkAzzogURLHeRD0hGPwkz31CRx+5IMAUq5Xs+1Td/1yUxRlBzttrASD+Bpi6SjMRXf/YpA
5jLtyT/6ikbOmfGHeKbHH52VU81mxZO9ZCljqNk6X+nKxCxXQRn49kDycuKQwcz848x8pfa0VuIf
Jai5ngOomwgZy6B/1IhyVpp5L23lrkcxUvTDHpWy3xP9PA4mYfUWPjZCoZtMQ5IXv1UsisiGVvCU
dWdIx0yfCZR2liqscdW7vlP2FpHTwFBunCVWT29WuTLs1FhSb+Y7fHqn0IWcT3R1VzY/BFHWLum8
GtHWiMgoPexdoIYXK2L+WWfVfUYYtl3EflaJ7WC2d41EADOyLiQ8O+e+J570zXVaEhVI13ZyXVsn
7mehlmuD+G2dGG40YVBliHLGox4Q0+2m8qUhttvuHL8ixhu8/M1c5hcHKz8q/JsCKlBL7Pc8lOee
GHAjL254LRFRIRIjJjwJypuW2PBZx3Al5YFOZguv5VUzkw3b4XOFTSksSetYXvrQRoTaqF6cq1uH
gHLo23LZbBMwHmFkT24aS7ut0XrLWXk0iTjHhsYrDMqdJNB9C5caGuXKJRQdGTy9QfZEG/NYiuiO
dMdNUJknsl03GqHqIulR0E3qaSBuveeb8FwC2FOC2AMC2dHaek1EmjdB7cyajwPB7WWLE4NsyI/G
1sAuj3fNkvEehL15C5xlG1tDdGMFxnkytfzSZFDFqYGIiY+1Uiczno3Nyhzri8BiP6i8pTrX2Gco
8L168eFXGPInjPmsc9GM61SQ4e24OPdH9qk96Z++jqlfJhNvP1z+VRVs6eamjaIHr4gBz8NCBHDy
7iFFoKsrOl3PQg0AX0+65hdJYGEKKBE6sqpXCtKj1XNgGHfGQiCA7oN0cuQVZ3p+TcAUtEYOZRZu
QUUljD/ZTjYUh2cJ3AAEgGdSGgv6pTXvDl4tjQmh24FEgD3kFUAScCOCAJxauDrxBZj8SQenoKK6
za36plo4C0Odv1cG5AVtVgDNwGLAnccvCzyDmTn7cuE1EOYKXGlhOAQLzUFBU1AKjA2YA6EEgHwg
uQWFKOULy4pnuVAhpoUPoeTzTafq5xFwhLUQJBQHw39FkMcYR7jvk/7OAjdBSO1B4QZ2lC7bZKQw
o18dzhhm2VcvtAoiRCvPXQgW2sKyQM5Zb5L/w9557catpWn7VjbmnAZzOJgBprKyrGDJPiFKwcw5
8+rnWSppW6Hs6f2XgKkf6OqD7rYkkrW4whfe0AzHmdC5MLXgLIqK69ZscID3+yvPNJjvGFOliGS0
GAW6QjUDqg5eRwhpEEin8NnR1tCFysYo9DZ8g5jy32f/09lvUAv6/dmP0AgkyuHjwS/+7O+DXxVN
XyogqCEBGRKWxn8f/NoXClvPhz5h2y8IPxGCY1HYUil+YQT969R3vvDvsswp7UAMoyD1T0pb1pNm
25vYUYcmTolMdfgvHkVgjV7xsYGn9mZRVMl5qmAedlKpDfihoQkAsiCm1KkOSEtaAxP8xe/p7P0Y
s9Ffkmld6hAwJ5p1N7SdP88bb1UiAVPkQTrBjzmGEGudyrVSiNUTU2jCJQk+JE5Q3oADa05q6efe
qSS50RRv+xqj0eysGuoHSVSZDad70DnB5j7l28Yhhcvs4KjXhSWGE55IxB+lnBmzDBYlVuq4ntYQ
XIC7l9jQU+Ypm/KupWEL/XZYyqp9J/XKwu9qZUJVbWVZ9SmUaRCxGN9MjKL73tnSdVwP8TSMlEvN
qG89Ko9Lx0bbRKHOd+bR+Z+DX+dMMKJyjjL9GgxGBtSRkohNwQJ+51kmwHqAJ7G0Ar7ng+PrVfkw
kY1HvU6WGji/Sg+OdAH8KyVp2oMEhErLbzurRC5vG4ruWQ9uOhXYQTCETkiVGykMYIWgOO9LtTor
x+DGAHYY0R6aUTAFiWiY5xIPC8yxWyV+IIFElwC8S423QL/msgq0U+x+T8cnjKMcqOxU4B6Nwk4O
QkwYJoZARQIoOpeMDopQRV3AkCDDgWk+Cn14HKHAVRZefOIXjTy3gVyaFY33jpKWAxjTzgAZy05y
luPPAlS4sA/KPFWXIESJdUBzliLrzIfYXkaWX85Cgfo0W7efGwIJisQNqM9BXWHY/M0FLBoDGjXl
BonBtJui71YsS+DyPWaCkKXp6tB/mfQCfap3I9aZAFITycClTZXcJQvNnXZZeyQDX/UFjrWvy7tQ
Ki/M1jinnnnghVQSTDXE0DW7Tmp95SiY1EWjeV3DFJcT7xv8tkc6hhJlKkJXQyBqW4GttQHZpmEB
9FvND10rv5EEDjeuumvJAZnLn8L5E2hdTcB2JdxINNVEcEnJfiYVgmVBlp+QpJ1FOpT8euhpZ4EH
bghe572ACFs4/bBWShs6X6BOMVVedTUWZZFW9uvazcMZNDzUTgT0WIvCmwYrmTi41mrMdmwBUmat
4SUIbNmurXqZVnSTjI7+fa+o7lTL5KMB/ws9xRw4CQNtNoKFhhiIgVZaEGSBkw5SNaW1BHQ6eAJR
g6Z2QVVHPU155tqlrh1Kw89IBrIngcTOrGquCWi271tzW8/wYbN+ygK/nVv6z3KUvzsAu/EePc2H
AS0dEN/ou/lzcwC3NCTFhd9U61gfkUcYDuxsxK3WIdVWBIK8R6vGRoeltIefalX+8KTmqMvqr2it
n9QtVH38+GYjsHTNQbVIEUh1Q2DWwwYFvkbg2Mu6/plLSQJ6sRNMWWsdFOUP+gUyAG9YRKpAxPed
bR7WjQCuG5KNIJd+y65bEJ6VOH0Aqq8hWk0UWkEzNuSjSiDvvQo1AX9sD2uByleB55t+v6YWRRlU
IPfroornuUDzVzrS6gmaeBTIhbntZW0UlF4EmKSHD1jg+TPHYbxk0WUsCds8iUvq91nvnmaxJrwj
XCRZJe/SdbEuy51Lx9VXWj/YUxNehGhYXbg5bEdPKRZebce3ZVcFyF2g/EguCRtHLGwjvLEg5JP0
dNGCbVXHVdq/61PwJkgWLNouPWRDvxj0DBaKnFBLUZuvIH5UOp3GrIVktvQp3E3bStNhT4LJsNND
zMr1aVTEx5Xffg0Mnb4lHAIXpyIkLUtCdS/mb9v20jBDezWmzR1aWKDj89KdqKnqT82wgIY/Sj8d
HfhQ7ZfBEgzM13TI7kyNtV3Elo26kS1NEWDEM8YdU5xyHSp5WXEL+1/g9YHkJ0MPsk+FkejjZzTL
2LONPJXxPJTrBaIBd41DmSdnIpHILQYa6ROFVz7huCunnYYlU90j0AjCijFtA/MAftbK8XT4sz46
Z1pmkH7q7bU/RF87zsRpHdLcDQxw6IZleNj2DUw3GwxeEwpsukA25dLYzSIQJoOEipPbWd3Ukzt4
U5F5bdRwxdLhwciM89DLH3tUhSYond7CuiQyBYCDDFB6jJtvcQpD4YTzHwcZK13JinJQx3kJMVVt
MFEGaYVwYXxQjcW1prLw41S7kQb9rA7qh66IF44bXnPYy0eBCQ2J8/+gwgiYDP7KGaOVJlXdxMLW
XWQwDSXlbuXCh7XSAetLgfmiPdPOVMu6D/pMmiVl5uGRBFhlyOwLBV2LuSFcflIMPud5ju9jGzfu
gVwOa1NiMtSYqC1o1lz1KZQr25UOA89bl4jFehThkVvMl1lBvS218vMsQpYRwI83lxTjPg8BQDV1
8F2XA2QVCvNcbsxvmW4CWor71ehpP0O5s9hjKcipKi5bdo/FlGkRjtdmFU3kbGD6hUoNbnfAh2RU
vptVe4pqXTBHdjSZlBK7tj+A+MSGvIPAFK7lVD2JIBJO68ANEU1DukMAfPS6XA6jjuWbZoTTRo5W
oVcjN29jqSoLXGihuuk0E9Ag+JYPvoe1U2F75QLJOHmaJW07y+QBKThoKINk3lCiV0DkusY0KaQr
v+yuIR/C3A2cadbFAHYVNJsau4bdlcFB1/3L2rQK3OHrg8ZrqmkiO9fwf869uHOmyISR0+RSQxLH
etJoGvaeFM/QbjuQiJxYkKFMdbm6y70EhCvnOaPFEYIAp4mZjaCLdUCKpdz8aco0AWEgz6xE0MCd
6KclCNwoDNy3Q3nkcJJPBsu4r1prWdhNCcpVOXRTLUVqsNWnvRndeElSTbHuVKc2WUkoJfQR72Tb
OyYw0GHKSNlEacLD3CDFxokwPFWDjLJvyc/s6LsnoYBG7eVKKaFc5I10YSW0LtQkO9Cd7qYn5pqY
/ggvPs/SeVFjWYmAGlprUcHX0RErsLtSn9N7OrKhTtv2IBp9RTxl3f0EW0Prim7qHP7kQm6b27xl
6fql8jX2UpEsaieaGdTz1AjLCbpyl9CUcOqw8DXHU4t9ukxPer1MF6WpHyp2fU87hlZoUN8Uvc8e
1MjXY4y93RBfAXJPZl3FlmrJd1hTMPkpEsPksLpZFjfHeVUuUhnnH6opJK6Y5TJrw0eH2NhvTZjm
ffo4JuXh6GAn6lHtUdX0NghRbQC7lrfAzCuiPCti6/MLZqbvdBbakgEP2VhLuS9/mj4hnZX137WE
mK8NyZHp5lL+OcC3auZH6RpI/F1YN2e6XhwmAV5pCLgsXNQeJpjsrbDUveh9Zd4boDDcIrvsK2eV
6w4UHwlUSXiOk9kUZQUYQBpIZjeeB2V7jJDvQRPk09iQW/WwCpVhWniWGn2N09G8HbLAxGpEolXw
NTZqLO0HIVhm5NK/XcE3aDcDvMEfctCGuZOkj1uSUP7uJQlF/EswycG0qQpNDCEf/ncSiiE4QmGm
RQHalN/ogtlfdPJPDk/VFFpiwmHzV/UZnyRB+kZX/AmD/E/yUPOdyMkTxEJG5oSaI1BmfJEEBONV
Hqq0Bn1bxErORsM/BLdH9zqjboJk0JiG2aI1CMRDNz7R85hARtNXcqMsg7w+86lkpshNOp0Kr1pi
u1YOuypfR43+HWehaZTWJ/2oUM3UV6MvmBBSNkx9y/uOuPZXCGDR3EySNSASbD78AQ/KGAGeEbmf
o2RAIzCO0MKykxrCneYfNU1mH6e0IW1f9NAFVHUEjVA60Z0JT0tzlXOfaD4vqRRBRrnFx0+wY80z
m+APxSR4KpjlBWewmh/MLCOQgMY6HX2LqLuNlAOYdMd1jaekm1wRXT/S7j2pdEe0Da86ml1oi3jL
zGyOTAM5pKw1zzC5O4zrGEE037jWcAkes/pH55uLqkUvqgTONukc+xyOAUUxtGa76DTswgUlVZdF
iCRJaMUIO5TSjSOUXLMxn8lGeOyXYz8RBAyYEUicGTHEUgzKF77pJAspdH70SIUZbXOsQyU/zYuv
sD0WCcfsYCln2L4uGq2/GODL9CES5BodOk1BiDaWblvdvQHpvjAb0hun7UD6xcldMMApoj6Pa0MD
KboPT4eWoSui5qvcu8SlkZl8K/QDRE3smhIDADetsNpTT7YXLvgL4G5mNx2a9tKHesT/DhbEPvGs
LtJvDY/hghecRgGHtN5lSyOQGRsbP1EIoEXLewhDiYhDtuNZNtgwFAftIrDh6Xbug14g/hWY5pWe
mRcS3LCpVJvHToKOW2NgeurnJP5B6V9I4E4M5EGRfSf27ovwynbTezhas9RNEEOMHsK0/OY5tJVN
1SAw5EutclfpYK8gBgYuzZvSBVpoet1PAgvUThbg0hM0oJeTlTFG4CCwOlG1eI7tNAxRCPE0VvKZ
bgKwka38NsuSuQNq4dg3GO0iJiGARw9rpVcQ0a4Q95EoMU/GniPSVJz8BGmc62KMyCQaIm6ZIzAL
AAah8mkjxJ42k7jMjmR0x4+hyQMfqG4D0zpGvv8ibfFztgInmUrKOC6TlAg/dUuK7wNnHpI0P/K0
uLRbXrzRebOBkr3cuA9uKykzrTUunNy+aDp31WmwORXXPbAQtpsYTPoJwhaLfqQ9XiqUflQvquj6
IjYXFrhQS+OwRgK5mpJNEoIzopNaKg/rFgvOyKQ2Q4dDEeVfNBCXAbq98yG6oE2kAMuApDqupWhY
16155fXtVRQjrNnb55GKBir8YTIFlfhOC6RvYN0JZXFb98d64Q+tiZ15geCdkIUDkkRWIg1r3utw
qFfGPMtBHkYU2GaqpD+qfXUSy9JJL9fpPLCHdA5gdk1JfDXktTHNTARZZQsKEDhxazKUBOFq0V0m
Fqa5RVUrSxcEqcAt8jxtnM66hhnIv/9UYyhMgxG7VNmJkO1YuqAq81glTAndTAIiD+s6L4vTKka9
VVX0xzwHhil1iyokV5LUWJ+j8wdiQQkXvjyWx64CzjPVeduM+FGR8qWRbkDruE6/60mcLciW0Y4I
bIc6HQFbPHgrFymCVaYM68LElMBhayS+XhRaI1GR1k/G2j+r0IIgSQKBOgTaZRcmHeJNqBBV8hJc
81WOz72WKZeKV6jTbERSSs6stQfwNTd9+nd6MOsCuF6G3FxL5qhM4RUW8zik1lQaTOqocr+35vi9
rKkjVLq38mJphQJSM0/Y4CZ63VzmtpLMyoj3i63tzKb+Nu3Qu5l4CSWhEl4Vu3zmO2dsdEuoxwjm
6tXV4HbfIrW+KQubLn7U3OjOKK8UtVOoAKjQqPC2mgW2b0wHH2mBzIPTECvaQVmFl6mpLceclpAb
Kd+7iDqGE4cLI3bCqe0AydFy/HBK9Vtrfu2qw9G97agG+tpXqkoTynjfCJuvAy3h1aT10kyzUzWn
+pnHSrWSQ/NRYaOfK71zTqLK0qb8upIMIkHLHIN5jHv3JMBYNXO64yqP6ROpK6uP2X6DYT4OyiVk
hCM/w5UHlfwbq6bmIRf1YVGfisZhbeD94AFDwSGCFl7mBEu1KFHyL4MbZRiXiJ+Hx5SOlMUolSfO
YEkLpKejhVb34WSkRDqpcvJqw03mXe4dGlROp5VpC+5n5lFQGRpNXSFS8mgHiX/SpTWsIuJ3w7oJ
M8RFSoAZKO8W43CqUG2Y+hXv2cLmYeXZNdp5SD+wfx269QjEAdGyM3mUxpVLo/SgpSsIhsq2140+
DMux71X2Y7uYc3iEcGTw9zSUE1rZB+xGhya6opGtUy3Fpngmlbr2LbBydogWZ1q9klaE1afQM71V
6suP2iA/Ir18x5EjrKb71SCTDNsWWZbMV+cZwT9ns6iP7/sgotzm+UsEK4H3uODQUs+89fukXYLT
D+cdQO4CWxCy1hHskSSgfeaRJ/qld4hxKLp7AQl+JUkYiwUlGqI5ogRBkyhT1A2uGX5OcSV+RNT4
sFU9a5HTNy4rcxnaFVRD+CoLVE1RjCzlHHwa6Cil6G7TukcMIb409GFmxsZ14hQIJoZUg8booNPN
Bc7z8P6VhJpYv1Dq/ApHkns21/MafPQ09pkCgVlcINO2YINTlp0OUtpR0NH2aaVZI0BDE2C+EyZn
lgPdMnL9Zg4Zd5iXfc18oDE/883Rh5BczZM+JsUx9QrFZXU9VlQb4w6eFQnORLHNU4Lc27LMj/Hv
tsifpbmC/TN2v985WihUqRfAro5YuSugEDISdP51jjQ0qh40IRWO2kg5Dtz6yI2zGyNXblHk54xI
rZtK7U+yntS2CyBehRI9UcfwviWDnE4VKT4Yg8NSL08oNC3yTqWWE9hffSPnjJbM6yZvT8ben8hp
cBfrxmERUW+ttOEY+aJmNZQDiWNvniSKjaZLwkYoAVY0Aqp+hr6KMsjX8njUlJqGwQitSXM0b8Iu
Sc41YGwzqnbYw3aIcLQ+UIVWiGbiYEt5PkkH/MQsHamkclXpKmV0ObyzOmIYu2/OrRzhZqdssyV2
btVxUmAhU2gdyF3LZlNyYS240tJ5wjOoT9gGepvgHMxaOoSslyxNPztwntAQ8RMyYnxCSfy7Jbhp
CdIj+3069g115mabwoBorf2djdlfTE1Q92nIKZbyuiX4pNIMlZtWnAMM57XCgP7FIRMDiK47pHFP
OdJLNqZ94TBXSeE02VKefvQPAO8CL/amJwiaSAhA2qqlAITVBVLoVS7Wy5LXlmWKRrOQI2bJe5WB
jlOyYaf91m9XkYH8v78RMpm6TkUTIQNZFw/y6kYK+pKFGeo5kaHhXEd+IZnTxIqHcQVKia6OVqeN
flBV7niJRjoyUaai34Q2uVuehfZhiaLXkWIJuiFInP6cWs6FNmRkSebgWdVRG4WV9qPtC9NGUK9o
WyTyACi3ehsAsJXisy6MsZQK8jxT5xThGmQOJc8l2K9cCi/R4MwF1F+eVem9EevdqUX2eaY3iKlM
lRzg5SJze20atw1WFVVGTTXoMu1MbhUjOm7j8Kysow7sEebcvnOuKfKjUeUPKYcSzMYrqy1Waact
DcnMODf4FlDYgS+6CydB8Cg5cIehmGkRMCoAjrN4KH76tn9BGfNUUfOfjdZexsKNnU05/G5FkDaF
le+JZOUlNguGeRgHMG6chL7UqOJNKEnaTz2sUDZ0ffk0rQsM8Vq3mJCTGTBK7RMwvqdVCiJiVO2W
kG9Ul3VqXQ+KdItzdjHDLh5UeV17KmILmFUxLTjwIU0E9H/EJZDAVyKzvC71Wutnpp36FxVijPMG
Sg2iD3J/q0MsYBRVvOKriFKiLpVIVaGpWZg1hlKSopy+Wnvnm0n72lBMFf3rd3NZSOQptoG+udBE
fzvFiqEsPA+Tr1MOoHVHpnGJQdUELC6IyBQIEx7D3hxW8hx63MQ41BfaHMzGNPpf5roh0HO/ngOd
WE0Q+hBeNwSbhPPs7XMYPa5KXuVnp4T2h0Ps99PIK1zyGqIROgjOvGhdhK1UExll15ZPPKt0DxXe
kRkVqKpZ+JC6UOtsdfxR95mzqFTa7XWdL1x7/GEZrkF1hOI6gJUb4FgW2uXFMLUq0Cx95yLo49Oh
Mfx+jsDeslOgqbgjQaTtwrVyVqOGCo6qLnXAApOiRrIhcKA4JOmKgvwsQ7hmksn5vOu8YxVZTjIE
NFFboowkCTGFaYvTrne0ZeEJELnmXXtdtkIi54TUSibjzJdyxESznILqvhxe/vkVv91Enj2YZSQI
dYf6kea820ScUe2cPHHLU7lNwiUbAQ49JWe7FPhzI0PCQy+89Z9vud1v89U9371NqYdo3kZedVp4
2nfDJcqCkgCHxVrpSYOrFDArz6SaYqGHYcQUe2mSDcdj2YD2l4zjLLBv5YBSLTCsnyhEE84VJ2pm
fpXd8d7wih9JFxSzIi3yDVT430ZUop74+zP5O1pYW8qj/M3LgSw0oGUwiIA44OLqouL6d3kU+A6H
EzKblimzN4HA/QXOdVRMCi2Bu8Ze5C0DTaPPA4vYprumCqWHf3AgQ/N8s30YMheQTWqxSAtZKrKf
PMTrk7IuESGI1bA/Q0MBtoKNJ5NbXtVq4k9DFTH+UUmzqwAcLvrpSXJZNW65kmQFFsboKlMFPw4P
GnA9KXTtFOKzPEepHWU3K8S5BaZ/rcqkh0V75zRdfpUNIPrp7/bnDin5FJqUNXUaN7vSq/aklFE8
r1PUAQMfZTOvIDPpUu8Ckka6bAxVm3utq8wqRblOMFZcxTAxliG7AwjYA22wr7yiwRxVD9UZSNzg
LA76ZEoY9APNB7qvnf0tHdXguqBMd+KrQ7og68NWKeIQVRiCM8x/3QWFFWcFJUMwCbCZrRPqY11u
ObPY02hYpGNNqw2yNDZwpJohIlpNctwUSBg4kM+IfSZ11kydjM6e4eeHcqPPI8uT56rXHkaldNRm
9jdG8yTLqCzKNccVNdcETKD/w2h1aDw04LMuu/GK6EYIjM1z34MS7AWXtQ57BV4GjekU6x7T81bR
yEkvmcmj5tEw6lPz0MSwcFLTGCcTCcNFDRpw4budDMlg/M6LDmFB55eZ5J7qaD7Y1I00N4Y+lWsP
7lCdIy3ZHiNIiPR1Pcp4VdiniKQh/O2Op0bGK63zfgZa9TxKtDuQvWBko3vJzdnFff8wivszswO8
ZVHLwhEM/QGyzgNMP41p3KBc03nOGY3/eqomgpABX6xPIJJhTj2hqvg998avuo5OUmGhp9aPElrh
AFKZH0Br7CKyz0icQ+1O8BWGAws7iLmFFjIiQGNCRa/0ZrEBvsK3jEcJhljQ2GAspAGyC2eE64QG
Qj3xYYsp2sQyaISpiXKsWdTTY6Fn6MoKJ7ZhB8vBiCCzA71FTJrk0DBa4I8luAkvwlKLctzgU/sI
kF+cZ6GzwBoEGZ9oZJAJ7w6wqMc52oBm1bHApzIzVfPyizhNe2a2ftDbDlXHKJGvUt9FeEfHgzRL
EbE1QuI8xwR/5dJH1eUUmJz7OABhCgBiHUSGcVXW7g81TespbqZTy3JOqRDGJNwGfKyukbEeMg8k
u9TPqMNgVIwcxjRXAhPGin7ZRlk2dWvjGEwoKFDEuKeyZByWCJAcKkN2VOixclBk1Me82oGpfVsp
7pnUeQt0LPoFBiEI75YBfJekXFYDWDrwdjO7iO/82FjYWc5SZ5nkgnGuJsmPHAp6L7jokWTZM9gs
ypkvmOqu4KxTc0PPSEdEq7Hd07agjRs6JpQ9Z5zEKThmjRABMmv/dVBAFGB9Cjd+GG1odvDlqS+R
v1aZvhw8Fza94NXnRXqETJY1HwTnHuXX8bAIFWmpC0Z+VuRfTckpFyNkfZwzbwHwaOdqSBmA3Q/d
1wCEmQ/JX8IKxROsfxP6f2GF3s8KQQDHZxl/tRAJGJ/kAlDoQDrg6dj4/+D8fH5EYSw8T4FxDF+b
x3K4eKzA8VQvR4v46XkG+Okq+3/7pT9f6C9SW+58NeSP//kf6we0/GdBVZfBfc1xtPnZwcN//sez
RAf/9uZEfnqwp6f+43XiNfdoHriDZgJ11WGYiAaj+BBTxxkSNJsfS4pwS0ZVj3Ob45J7vRqj343C
n7/gZjj//Dt/fPj3gyC/LxX880FwsMZ0KPWjOvL0YVg/DALEVmhAmxDo/3gQXk8ExEMoHfzjScAX
/DUHrC9EWCaqV87m65O/vfn6lEvoalOoIHJ7+uzpTBDVn388EuJd/xoKHfF23jTCM5tv+n45MBRU
lBTZFNSt/VwOKFXuOAgUzhzNYDXgvCI+WwaBRBtPFmsz4P/Hy+HDxigee+dBsL5QGbTJErSnMUD1
7e2iYGNUAXNYgi24lxNB32zYm1Lh36fWPzocbDYGiIqi4vn0eb8xiMOBCipp294eDjzyzqtBMEA5
BJnsb7ZFVUaNVhSY5c2+ubnVvi0GhLSYujuOAbseID72xecDktT97VAoX+BQ6KI8tKerQd4s011W
A9aOCpqN1CA2O8L7bVHUNzhHFUXd15nwoYLzz0MlzgYLsVRG4eMU4AeWQn9gT6fAB4jfP//2wvhT
gOf030RKbAkakjqYybBC9vJUEKDEHTcDW6AcVZpkUOTER0RQb1IGsI62iKf391R4X8n85zMBzQCK
mA7ihb/ZDFShHIDUlrK3geLO8QEuSJZo+ahiJMTnQ4xEOA13jhhpX4MkZfdBkL/oRMoUoDerQSyw
D8tBKKghPrGve8LuAYL9xYJ2S+V5MxFE/P1+EFgoxJKG+TRM+3pGCMWOHbdH64tusyjIoDZj8WFR
kDio6H/Au9rT+SAg6DsOgkmYsEFKbFbFh0WhgIdHFB6B0T0dBKE7u+MgEDDS01IcISb0djVwOOAg
bmnCVZyb7F/O8Fze2CVcxu8cwoNBo+d5T3g3CJRSLBtbV1vZi6Iab+J9ZVHZLNBdBkH9Qh8RXAQl
o6fP+3WgGF8MxsjA3m+v90Vl56oSMvr42ys6CKp3E0HVv5A0aJhCPYcRe7om9J3HQNNpc+MvYFFq
3XzeDYWotDq2JsBaLz/fy+1B2exbu6wMDJxllf2RZPLlq77ZIxWRZjgmUh77GkA/71u7DIJD/Uwo
mlNDevowrG8GgQIbUugKmrybOHX/Dgpl93zS+KKh5U5ZZbMFCvmUN4PAohC5loL96Z7uDNruywHV
e2TmyBjlzWr4EDUqX4gY+Q8jJT77Gjsqu/dgzC+8aUrr+nMA/T6XEJskP6PMtrfzYffAQaPSJKPK
/bwmPi4Ki1WDHiV+NHu6KJ7fzi7bo44RnKpqIFs3i+J9xZUzQgWwRdVxU4ra20WxOcJ2GQr69ELF
CoDQ0/L/MB+oPELtJfMUmpf7GTPsnlBRfrVQsDfk5zLD+/nAcQmDWsRX+xozaJsta5eZwCAwBDoe
h5uZ8D6loA2hOuyejrOZKvu6KNTdw+mnUgtLAq7904ev+j5ycEzdgmPxfKru6dJ4bhjtMiuQHhCB
NHJ224cCjwdibcx2RJF2L/cHbfeqE9k2Is0GGff7iYCOr6nZQIifT5J9HYPdoyeSaQAsfNPnlOL9
9qCA9qF9h9fGno7Bc69gl8VAbCSbqECazwWF99OBwxIDEoewYb+D6ecu4g5DQYuGXqVDtPxcUPhQ
fJG/cJbQ0n5O5PYvwxR0IzasHQZBEzgW0P0v0+FDn4qMgpI8rozPRd/9GwR95zSb+ht4LTZB+JBP
ny21BnZI2bZFgW4vT4jnB9txJkC81MkdN4PwfncUqC56dTIhxZ4OwjMEdYdBEG1brLV5zy/dunen
JYNggv/DDHUz6/ZvOYgDfsc9AStY0Y/EI/Y3uSUAQANoF6LCezoTjJ0DaPYEGg8mSfZv6tFiOVCN
BtS0ibD3dSjU3XNLnM6IiZgRz9CeDzsDEDdUxhVUnDefPZ0Vwql+x6WB/DXS2DTzn2fFh1okjsiM
E96e+9q5e+6r7rBJQowgghbT/jdQLxEzODQnlGdY2f5tktrOMQODgK61QD3+phRLrUGX4S2yQ+zp
ctB3jx5p45sysD57kyxsA/jwQ9p6QmGPz75uktrmHe2yKCx6uEIPn1j5ZRN8U3DhvKAsRWzxjKPZ
w0Wxe+RgECKipc0WuIkh31edyC45UxEdeT6V9m8QnpFHu80EUXenb/m7FFv5IjZHIOH7ekbou88E
i0YUdkeG+bv2LTEDdk/C4Xpft8fd69FCv/TJHOs5r/wQOD1V5Uyd3sS+DsLu0SPlV7SGAEU/h0y8
77cbI3g3waXZX4KEUG3ZLW4UCB86txRgn2tNH+JG0Ayk1oBb9vWINHY/IkUhXgHQRTHp6fOhzAJL
BDiHTSnmX18O/8IR8jdBeeoH8cNcsIiDx2obg/l3v/BSY/v481fIuCe+6ZvfFFTlzc03+Dnx///r
LXP5CeD46qcvgMenOz3//fNX/HjzNzd7+V4v/7gKHst1ee8PTz8Ynh/0dJ3Abf7vmP96WL/H9Yl8
/+XfttOs/14Gf746PjuPLxf6xcmWyb9+fdWPHO5/7eLJ+iErXy706uIsnJ0vPsGKbduDM1N3vvZ0
Ha9bXkn1cq1Xz8583/366HBXH14pcTdnyydcPK3L9V/TrKq33YJAZudbzB7jv06zcuv4s/fsfP15
/NcsK5k8L9d6Nf5sxztff1E+Vum2i3Pg7XzxZfyYpi/XefXgn7FcV01yl8UP9cfLC2jrzo9+kOSP
ZbCOXy716+kFiHj3y2PL8nKZV5f+jBV79FhuGXPRDdr5qY+C1NuyEQiI2M7XPl5HW/YwAcn8hEtX
1eO2MfmMBXqcVX/9d+o9xo/bRuYzlujJ+oEN+GUcXs2Wz1iiJ2vc+LZc+zOWqLg2cstbHl1ARXZ+
rSeP6UN2H2zbvQT+4hOuX94/Prxc6Ne4i3727hfPePaX67y69mcs05Ns65h8xirl0vVj+ThsefLP
WKmn63zbbPmMdXr62K4/xo4bMv3Ob/OsXLMFbBmUz1ii5/H6/nFL7CiqUTs/+TkK0duCO9F12Pni
FwGhYxU8bBkZ7TNW6OX6viQlSOstZ6mAcO/8BS7X6V+TR9xKt93gM5bq5gZlui4ftm5k2mcsWnGT
WfDobfsSn7FqxfUXrID7oLrfdo/PWL7iHofZumi2nVYChPkp7/q4Caq/zu6CKt/2PT5jMYvvcbKu
H7dd/zPWM9ev139N1uXdelvMIChPnzFS3GMab7/D5yxs8S2mZTO+PO6vI1L/lIXtr7fmhAKWs/v4
UMPYOvifspiDKsI5t3l5zlcD8ylrOYvX26IH0Q/cfWAITJItB7zQgN394vUaEcp43VQvF3s1NJ+y
dEWZZcs5LKTed376q0d/vW1oBCZk94v/0XH7D/qE/1Jt66phJ9hyxIue/e6P/mejtl2f/c/GA7te
/Q8SyjtfurnbspBEuft/GfJtZdm/Cesfi7Uv6o7b/uxtLVr8xn38uC7/638AAAD//w==</cx:binary>
              </cx:geoCache>
            </cx:geography>
          </cx:layoutPr>
          <cx:valueColors>
            <cx:minColor>
              <a:schemeClr val="accent1">
                <a:lumMod val="60000"/>
                <a:lumOff val="40000"/>
              </a:schemeClr>
            </cx:minColor>
            <cx:maxColor>
              <a:schemeClr val="accent1">
                <a:lumMod val="50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plotSurface>
          <cx:spPr>
            <a:solidFill>
              <a:schemeClr val="bg1"/>
            </a:solidFill>
          </cx:spPr>
        </cx:plotSurface>
        <cx:series layoutId="regionMap" uniqueId="{EF62430F-9EDC-421E-8AAE-203627059DFA}">
          <cx:tx>
            <cx:txData>
              <cx:f>_xlchart.v5.14</cx:f>
              <cx:v>Sum of Amount</cx:v>
            </cx:txData>
          </cx:tx>
          <cx:dataId val="0"/>
          <cx:layoutPr>
            <cx:regionLabelLayout val="none"/>
            <cx:geography cultureLanguage="en-US" cultureRegion="IN" attribution="Powered by Bing">
              <cx:geoCache provider="{E9337A44-BEBE-4D9F-B70C-5C5E7DAFC167}">
                <cx:binary>5H1rc9s40u5fSeXzoQc3EsDWzlYtSEm+x4njJJ4vLMV2SPBOgvdf/7ZsJ2tRclY+NapTr44zl4ql
hlp8gEb3g+7GP+/6f9wlD8vqXZ8mmfnHXf/n+7Cui3/88Ye5Cx/SpTlK9V2Vm/xHfXSXp3/kP37o
u4c/7qtlp7PgD4Iw++MuXFb1Q//+X/+E0YKH/Dy/W9Y6zz42D9Xw6cE0SW1+89rWl94t71OdedrU
lb6r8Z/v3WWif+RVppfv118jf77/d7q8z6t3bt5k9fD+3UNW63r4PBQPf75fG4a8f/fH9NM2NHuX
gPJ1cw/CVBxRxh1EBHv/Lsmz4Pn3FiboiHNCJEUSrX7wz0+9XKYguLtCj+os7++rB2Pgez3+f0N+
7UvAo/j3f30Ed6tHsXr4AeDw5/ubTNcP9++u62X9YN6/0yZ/fFbV4Oar73lz/fhg/liH71//nPwC
HtXkNy8Qnj7X//bSOoj/DeCk0NnDXgB2JLUdbDP5+CMmOGMJOHNu2xxmwNO8ekZ4Z41eQXhdfheE
1yUODOGLPMv3gi8B7IQjnuCVfBNfQoSQHMl1fHfVZzu6a9I7YLv2/gNDdpE8ZNkeoJVHNkE2lsSZ
YErIEZYCc2qDvX+5ZnfWZDuo6+I7oLoucGCw/juBne5+uQdg+ZFATBDh0KdFO12zgC/hBPblCbxv
0Gg7wNMBdoB4KnJgIF8lDbiAe8BYHknqcJtQ/ArG6EgyIW3YnNfX8O4abcd4Ir8DxBOJA0PYe0je
Xebgvv/9IDN8xG0GbjJ+3n03FjI7IohRWMiTlfwmpbbjvDnEDlBvCh0Y2qqp94E0hb0YE8rQa240
wUe2zRyMySRQ2lmh7Sivi++A8LrAgaF7vczenTfavPvwXZtiH+60fUQEcTCY5seodxX2TsNix4Fo
GJOJO/1/odp2xF8baAfsXxM9sFkARMmyfaj2sm0L8KwdggnnT/iD3d7AXyAJpgCc8peu95uU2o78
5hA7YL4pdGBof26SZbWHzZs6R5Qi4LmeCa6NpQ7MCJFCCGzTdah312g7zhP5HUCeSBwYwiuzpR6q
bFnd671wJOwII0GxALwffwDPtUWNOSDNkORbbPrbFNsO+CtfcAfgX5E8sAng5klj9hFowwpe2Wpg
P1+x5uQIwcxwJJsEYbtrtB3xifwOSE8kDgzhi+U9bNh/fwQGRhy2a+DB+DPCW/w15FAmGJ6s7d01
2o7wRH4HhCcSB4awm8NxzAphU+8DZ3GEVkE2pfyJTpkeY6woUYDZ5hheWfPL3qjXdrS3frsdMN8q
d2DIz5J3Xl7B+eQelrc44kQ6wKI9n27AIl7buVenlFJiAB6CMviZBN9vUm078ptD7AD7ptCBYT6H
09y9uGrOEafYsW38TJtOAV8dVwob/uDJjr27RttxnsjvAPJE4sAQPm7S73lyX//9i5rBmhUOZmzz
XAscdQdTBEcjT+t93ZS/RaXtIG+MsAPMGzIHBvR1niz3spTFEbHBMnP+HHVtuGbgfDMpbDSlUnbX
aDvKE/kdMJ5IHBjCJ2nxUOll8vcvZUpg+yXCZhQ/BVgbkbV9ZIM1tzHkGG3Zn9+i2XasN0bYAe0N
mQPD+/NDuEz34ISD4QYcHWSTVzbn1bk1ZRiOQYBVg5+JN7a7XtuxnsjvgPRE4sBwBnIIYi21rL4v
9xJbsyNGkHC4fAVu8MUcKQBwIFAef9a36zertx317cPsAP52wQObAyfZsI+4y4EMFQLZR/w5a3DD
DV+dk0jHAXp8HfRd9dmO9Zr0DhCvvf/AkD0DRnwPO7Z9RPnjOfbThrzt1GPFtGBKIJnhJZGyqz7b
kV2T3gHZtfcfGLLnS2Me9oAt7M8M8nyFfNp9EZp6Y8CWOPAyA5u+ju3uGm1HdyK/A74TiQND+Awq
B/aRVAZHlnAyTRizn/mwCR222pHhNUhCmQC8s0Lb8V0X3wHedYEDQ/d6lWO0j2IMCRw2IZB98Oxw
bZDc+MhZxdRMTpIPdtdoO74T+R0AnkgcGMLny3gfGQcSCA+KIRP/mRHZSC4hRxLb2BF8gu+u+mxH
d016B2zX3n9oyObm3b+z4CF52Id9ZkcQHBMqftrn6QLGwIkxChVXMAm2BMjnb1PuFbS3DLIL6FvE
Dgz7i2Wl9+B2UX4kObPhBPr5lGqKOtAiNmSfQCA9CZZ2Vmg70uviO2C8LnBg6EK4/25eLbM7be7y
n+7t31EiyeG4AiEOoe52pwvgBZ4E24JOUgzWNNollNsO8/ZhdoB7u+CBwX6R3+d3uzzctxXGQmo/
kwjKM/Azt7VRg4WObEYgHRxPsgN3Vmg72uviO6C8LnBo6ILJLvK95IbxI8gKgrwh8RwtT4+nIJaS
DuOCgL+2hd1c2dJdNXsF6ekIu4A9lTkwvG/zZB90pjhyOFCZUL4xCZihbANe4BiOnX9uGU/Vz7sq
sh3aNekdYF17/4FButqFTvNl2ezL9wLPixHYgR9/NigvDKm9QJhI+ZQgOIH5jcptR3vbIDuAvk3s
wLC/eMhgd95PUjeQJavDCc6fj56n9ptQSP7lDqWrkviXRPablNqO+OYQO+C9KXRwaFd30IPD/dub
lPAjihzp/GpysBFgAfEtsISomm0Lqy8edtXrNbTX5HeCek3i0HCGlNqH6mHYA9IObNSwVVP0XH61
xZw7tsMcOi2Nh/4SO+v0CsrTEXbBeSpzYEhfLos95JFA0yEi4RQDeO5XNm3II4FjKgS++brp3lWf
7QivSe+A7tr7Dw3Zh3a5l94WUHLjEC4oei7I2LKCEZTXQuA84bgvd9boFXTX5XfBd13ifwHCv1dx
7Suv+k39++fq2UKDvbVRGJTIQX27A7lAT2t26m6tjh4xJxxDpc2WcBnKVH81N3tyxrbptB3Zl7Jr
3/HpK/7+ofyv6wT2ATjMYB+nTxRyNSEfVzivdQKDtjQ2tHtzpnl7u2u0Hb+J/BYI134F7e4mEgeG
8FWyvNvL+bE4gj5fK4yf1+g228tXubrkaYlO+Ord9dqO80R+DdTtPf0mEgeG8ycNXQqMvt/PYpYC
2ZQ+Z3FtpnFBzAQ9DCARZALym5TajvPmEDtAvSl0YGhfL+8qaBiW1fshMG0OfRyhK8nTygVKY70O
bnVcsfoDqX2rnw2a6y26bUd9y/fbAfYtUoeGe7jcS8krZPNBT06HCvpaKxJyRAU0NoB+NT/9vCfu
+npnjV5Bel1+F5TXJQ4N4cf+FNBgdh8rGzKtbcjpghr2X3vyxspGBEG93BTlN2n1CtKbY+yC9qbU
oSGuH6q9lFRAGzEHUahvfDLT2zJ04UUouoCyuG12fGe9XsF7XX4XrNclDg1nmMmefgj2sbChNA7D
0RSUx032aug2g8GsQzua5yU/sd5v0ekVmDeG2AXpDaEDBPsC2oPvA+zHZALOoZnnK/4ZMJpEwIEV
2/DMsnc7K/U62utD7Ij2utDhob1qRAK9w+C/+ziRgixOyON9zgmbrnHIK1h1DgOac9KmAA5936LW
q4hvDLIb5htih4l61Yx7AB16DXGobkU/U8I2QIeCdmi1Dg3lNl211YPfUavfYv5yjN0hfyl1aIhr
E+shb/5+vFfdfSmkdZKfbbqnRZCQ+OnA1Qo2NJiabOFv0OkVtKcj7IL1VObQkIYLFPZR1g7HkYxK
B04kXzt0fnTlHAb5ghOcd9boFZTX5XfBeF3i0BCul5k2ybLZR20Gh9I4BFcmOK8V32DoBbiqzuBg
11/mC8GdMm/Q6hWkN8fYBe1NqQND/DNUZMBNRnsw3tBkCGolIQB7zt/eYEyh1goyDKB3wcQjf4NK
27GeDrAD0FORQ0O5gQaf6V6uN4LaGwG9WyHB85Ev2TgHgZJnoFswFmSyR39+g06v4DwdYRegpzIH
hvQXMJzNXiIuuEkBeDGKXmsACfkHcFkZRg6amO83qLQd5+kAO8A8FTkwlG+b7/sIqlcZvRh6RcFd
VY8/G+WxcMcClMYKOBRZ36F31Wc7vmvSO4C79v7/F8i+fkXdr6v+vGW9nD1eEvjilrrfv/r4cOBu
w4nosyu0JVvnV27eyf2f7yGTjwJlDWzHr/sHVwOtOVIvm6H+BHBd9gGO0v58D5cPAtKrvkJUYgwl
8QK26O7h+SWotoNZApm+0H6Gg9v+/l0Gt7uEj3cZYgT18xJKcDmkn638OJM3jy9BDR8WNpCxzmrH
59AM+OfXvcqTIcizX8/m+e/vsia9ynVWmz/fEwRftXh630pfG9lc8seEYwFpyVAlBPoVd8tPq64P
8Cj+j0z5KLPWbj8krSah71Zljk6THrPTbMyjyI2c9GaIAqJ4b52LjFAvstNWdZHjhZmFFK6jz31Q
n8Wiv25Rfz74OFJF6EjVdGJUox5Ppa6/dOlwyVN6YmtH0cTPVSnMh6LvT52icdw+LU/0mHQqNUZ1
fiCVz2W/qCj9QUVQu50pM4V0PLiFpmRWxVapRsHmTRQJlyWoUdKEt4Pjh8okbJjJekg9VBWfmdM0
ijUWce04cGkxInfoasWCsnWrzP+aSOzVxBncyhjP1t13p4lV5JepB33g7sqIa7d19Den7I2CdN8T
2gu3KTVXVk6+OQFbCF6Mrt/ReSgqS1GTHhOntb02F8emT1NvYG2ldNt/H3L/e1r3H1AelsqO61uN
pHZTFi/iuD8RYZDNcd9VXtVauRJBcR8gZns9zr4VuR0pGrbU85v6wfHJeGniYakL2z9rbM3dyiap
CgNnZmUCfyKGVx7L/dDVcOGPyk0vF10Xn2G7bG+FbCuqGpiF8zxq3ZFxPWM+z+fJQJGb2P04E2GI
VCDHXDUkMxcDEr0Xp201F7kuPD+xBreG2awqE4czS+fVbEDan2XI6DON8mQhZFdfE7sdv3RjG3o5
SnwVmwRdDE7K52MXx7d51ZJTzbnzrTVp+slUuLwKHaJPBK7681L61GuHJD8lTlk1ymIsOve7rPBn
Vt6fN9WYEDWmyP/eC20Jr7Ot8iQj6GOcSzwLw664QQM8+IUPhMhfViSDH0wkzSyVhKiuHppZLIQ7
pKRUJioa1Y41zJtKn2FDLuphhKfezcouODdZeYuMka5VNpdVmHXHvl/3c47aXjU0l3Nuh61ifXHJ
alLPyxS5Ea/qWYnlme87gYoTTVRGR+o5rcy8kcXYy7HQHk8HNM8bGhYzoq85zYoF1k58kcMtDmdx
E7RfZCrEiQPOqAot5C8skY2usaofPfGt47SIvF4M+vTlVaFr5uEuL4ZKB+HzZa+//vqvz3kK/zze
HfqfX67uiv3P3xYP+ep03kzftDLmv971n/tHV8bz12WkE5P8dOHsTwP2lhffZMxXN9y8bsyfUrc2
zfjjvTg/zTh6DKltxwGSjEoEtOgvMw4JKwLcdupAw5onW/3TjMsj6ABMwaEHS84wsK3/MePQDhpD
hyO0apLyZPx/PoU1nGAXe/77SzNOV+X3xboZ59BoGCo8IYaA7FY6MePt0LWsZrz7UPdt7LI6/pq3
wyeet+0skcGHFJfRXa7bTOmBfqY1jdyWWv614N0PK0Rz2GyYGqk1qkCUM5QlQqU8SGa68r9XQYzd
PuGVapvsE5NJsEAy9xdd618IuKjYCwv+vaH62mnHr2FaOy5J6kaRgrl9HqbHMS9OaWFSGDEEQyaz
Oazfa/gsr6txo6quCT3SDFhFoolcf3Qu6ljeQGfGUGVxcB8ZccEq/yNi/YcwMMc5x4Vq2+EjCRGa
M0FbFbH2qic8nwlKHMVJDxtJErs+7FrjWLq0bKITxIhWXYGPceinc1nnZhbrWsyaoaAzGvsLJ04q
ldNUHvsF+1zJWrWD9BpKZ01hkCorW7s6HU5GHDG3zkKhAjR+seV9mvteRfoLY9JT3tbfGjRqt4hM
rxjVrWoGP1FO24TK7oeHFuUnLeZzTi2uJAq/BDgNlBSWm4ikVKxKVaDH44jwD53ml5wFbpBXX3LL
/t40wxnP44UVj55DuVsafNL48Ucy0EwFtvNJwBPyNQ9gc6rmXZJcVkx+cjT6HvcjUj2SWNkIj0ry
7iYl7DYS8pIUvHPrNmPzosFGyZ6f4Uh8thKauc6Ivug2SlSXRWcj9W+KvrosGussqGIJG23ywKzw
r761Phe0Oe/D/lMtnTlyrG+NFd0lMrKVbQ+w0RYBV2OSixkx5Q8+DNeosbQqmbwAmM67iHtlFXk+
+4ELe+YT+DpdM84LnhuPMH2dh9GxE4lcoYAvxojbqsryv2jm3NLUDG429EvWdDC/cFmqNMhi1db5
OW6Tex9mpKxo6jGSL3DinDbOcJw79X1rsUiRkH62TbAItLbU6JdXGIFvgOO296BTe6gqa4g8K2yE
GqgoFJLxl6iGhzRmVqTs0NiKpeRT7RQzWaTHA0orOTN1Vpz6QRdckib/0pvbpDyhsOZu01qrfCjR
cRjEWo01u8nLIfw4dJU88eMkVTk3/YK1vlao6Rh4GTiaDU1oK20VP+yoq+V5h8s6++iHfjTM6jQu
x5vWznWs7LYXRqrAj9l15tMidq2AftEsymcMN9fQG2BU/sBUn4FLIbvWS0QUeTyTi6HojGdhIby6
q5JTXTA+S1sfz4qO3uatHc3GEZZbEsKUzrraUWFfgV9hU9fSqRcI2V+LondUHoYf+nC8J3WvdBkI
T+tyjrrGa+IUz8Yeg4PgiNCLRTBPOL/sGVN1od0Ria/azsB7sn1Vi3Du1PWJFlRVaPCSPr9KdDMv
Wqt2R8uc5YUplNXWpyzMgssk7m9i5lzD08WLUrJLE1VXfdncyFgeV5RlbuB3343DvuQ5/ZYiniji
l26U0FSV5TjOnU5/scOeqXxMQxdu3bns/FaqrKOdG4fJOerGBfyWuL2OClXW9m1hOYUipTWraPxj
GMubIuJfilJfJBX7Xpkxd1HKPzi1PHWaHClWhlTRssNqqAPLRT7+jvrokyDZOYBXKhmNnapjfpO2
bQcrhNau3YlwVorAc0aLedDUYVRRXHp5DYtpgKXHR/ieITkxQdsqHdafogasAMGnCPMz8A/PYzup
XPD5a5V0Tqj8NpWK6jRRDReRx1I8zvy4frDCEVxAWUbzupFaFQW6zHxpzdqkGY5Jhk/HwF9aQ3oe
xuONNVCicD/cWW0ZXQ/gtrtV1x0XhmUqHWTs8aC863KklVWhws3T7EYL5ywsijs98toNCEo/91l1
bGXkhpMmdf0C0Ei4Px+aGHnCF2A2uhOeFr7nO81xEcHuUNR3knRMmTSBuWbSprNVggKrOq0QHlqF
kiCbMUeaufFrI/8iqan5xf+PHtFL1wYix986Qy8rVJ6ODh7jxEepnzEthub2q85QCC4DteEGAxjw
lzMEnXZX9VJwQAEBJZAgv2JaBkfKeHW7N1qV1cA9oy9i2lVXIRgQmtMIyBGFlp1viWnxytdZ84Uk
dG2G1mMOFF9SqKeHSP5lSFuPNC/KpukvYSXLWdv5YQEbe8RjN+Zd+9Gx7OE06tssniEEgVidsxYM
iekhHJBZ+fWFK7nFNVu1K5xqAwE+9DqEOB9uSl5x9C+1YdlQxDJs2ktSZvgyiMfMh7WYO6HbwzYl
Vdux5pa3BeyIVSrq0i2jKg6UPxrOXCiSyO5lXaMPMEbYeCRJ8M1oWwIvBsf2H/Bg4X7+e40JHAVu
aAzBLDTflDaHGwzQRGPNQ8B2qC9pbwdgifoxuWmh/T2d13zIbfCLehx5mvtCjdwZtBpiRBcQIg4Y
wte8vg97Y7AL+5btmVrnrarTELWKVxCEz4I8Cq/iRp6mRobGAwJNfjFheRYnnd3PtLGcC12Fbbr4
/bfahAHKRRC0eIcbbMEnf/zSL3gOPlhBZxWJucxqX37JA4GJYjGBqVFkTX/V9ZW8LnycfPv9x67m
2su5CIXcQNdwCld3QdhA6EqtFx9roz5ghQmyy0yM+BLHYXOZGdhChR9++f0nTSOA1SdBoAF9juFG
ihWns/5JRcZgQ6rC/FIUiC3LLq+ShV+Lgai4CGeobJLRpWgQuRtRu0v/26RZTYr1LwoTBfosM7hO
Ei6+mH48FEJr4DBSfcnL2F6mUWMv42Slgz2mZuZUea4GBNAvuqTsiCrjnD/UiTQnnRzYee/QCrm0
i/IYQugsvaFVAVRTKIbhobDawkPWmHLXljmrjm3qjI36/dNb3bky1Z+vzAY0AIfryqHDyvrjQ05j
Z7btWxe48dOlrmoTKGzFdcYUHYYsOO1CHX8Hj6c478cSHJWc9doluOU/aj7Czj+EAXcZsCoPuqL8
vrWLkD/F5xA2bw/zmL0BMmUUJtHqIBAy8GwO7PHL6eRUQqMqrOlFxMrCl+C2yXBc9HVP5bxum8at
+hJ9bNPBBt4gDIEbwtnCkKpYJKwgbpyU6acisdNe8aQLvnZRmp8Mpq5VYZfFjWNi4fll5rsNUH9a
aYgTO+VHJrvsCst8KK2RzoIAy0hZo5+lLmkhvrOdOvlEouAqGDLaq6Th5WXtl59rklor4oPAg9QD
AdvAmnFUqBPReRLa4tZHDTsNHYHPx6BvpduhkKUuTDp9YolqSFU3iNHDQO94Y9TfFaasrxtk8VB1
ac3nvimbE+YT8rkMcRcvfG5h8KzD2P8O2W4VuEdZaf3VpDz1isKQkzjPihNcyuRetwX4cQVN42st
/Z6rtmTBaeVXjTvAc1hgRuSHskv7Geuqco5xjyGMhgu7ArftIEB2W2BKZ6mhldcU8kPoWwHyMM7r
Y9hqSOdmKHKUqHnyrU9ReEYqWVzbtLYXjYwsMjdOOi6FA8yZAXdwnLcrr9jqe7QkJul+mKAobHck
NdCaWUDaYN7XUQ6Lo+tmQ9A2Yl4Bu+clNU2PM3irAla3yuFBpy1XkYkiy+V+xxXPgc5TrE58l9ZW
li4qJ54FrBnQx45i5mlToURFMJPqOa07aRY95f25E49j4n9surJOUzXoZMiq+9APCRlvTWf1PA2V
rMCU53dkSKOaVqqpmwYcyDqGoKQHurccF61sav8krbQuVESS/Bpxi55EA6UNhDYSKEGIhWQPcAHP
5WXAloVuncRdOXPiLkBuldTY/xCWyOH5cTzwLvSGPpH1uWNqCjOq83NsOreBvXDuWGHkf2hh6TiB
W4pCwISjsUnnWaIrqZISNi9/1rfacS0fqoLBk/ZRxuD+Nz9N3VA2nQ/hMk/SmfHBK5jbWZCOrhht
sJgZiVnjpmFlJao1Q2CujLbSdJYHWvywmpZr5KGc1AvNRCMubcsP/NOM8prbkZv1phyHYwNZV1U4
K4KQpzPftGM5l5XJ9HxInHQ4BoYxLVybDIl2eW8PyaLSpbZcgJV8tYp0xB4Uz8WpB/8i60MSIcvA
I8+yr1GayvSEAleRzOKwdj6NTU3pPAJyGp+FXWh4pnhIwnrhV22RXcNmTE+jYCTxvClAg1leJwEw
vrgfpSsiCAYvUjHA1LZgqVSej3FzWlHbTrzAp0EDEWMLcGpuwD/JxoiOD0kM6UieAAVSjw5pWJ5g
pNlxoHkMNFAcl9TTufa9EYgKW1ldVciryO+AQaG6jEYFROZonSE/YXNc+IEN6kpezPAQjvlJqHEX
zGLJwk6t3qew1DKD6RPQ0u07DWxV3WvrrwouFhgsYNljQS7xmOlRK9Eyi34eko40l04hh9zLZFlf
2E0GW1JgeAwCMqXwtHwd4ux2xEkWnpZDmvRz09kjkMF1UH9mEbGXdu+nvhIYJu+8yXpOZ8aBcw2V
NjhKvYSWsXFF58801uVt0nXgWURB1F4b2+m+F1VIj1veBf5MxDYCOlj4MI6d5FE/z6oWX459QdlH
U9v4M64teEfnWEa4NR54P2tJGunjqiekO8l4YMgHbXH5JUPlanJGUWkWPDGhueoHVgsXlR1gEwJh
k3q5AaN7BjuY/EIFgtmdgpWsPDgM6vMTCJh8chVVTRx/IiKT7KRnUddc1H29cj7Dob+yY8vpZ3mX
wkfn+Ti2qidpPS5QzFdffqV6B/YJ9CpSfMnsDL5FU9rwqMI4j0dXxi0snSIBvuNjVnFY8lUDXkEA
r4FNJUChfSgxG6pM0SIEWizsqr65SK2wMEqjpuznPfRWobOhLcnKaMBicuEbgQHpJV75yXWWfgG2
SJ6KVmuhRGjHMC+GwFl2GQU1+ioaPtG6R+YsADc3Av4gi6NrAbvFwmQIX5YyKG+BonVKFbJQk9Nc
BLI588M8aL2h4iUE5Xygi4LAY3URL4e7OIntq74xKD8u0dDGXzsnBVIy9a0UCAG5siG6TIDQdKBo
YqbJEJp54aTyK5D46TztiqBUnIGZG6ou/KTz2pzJNI5szyYVCcDsrc5s2pDIL1VktcEsIRksk9Hy
qTxhWY7LhxQM8nAqMEypWbey2LPItuCJ9u3YzmCT6cozXDXEcX2Z1C3stLRF4HqX0V+VbOVnawA3
/XSUdYXva5MNBmgzzNsT3REYqk9xOLqsC5zgpABYOteKgdMbgUeuL/qBJ9dRa0oluDlmad/ax2Pn
ADgxwmZcFEmc5xeZ07Nzq0Ysn4VllrZnwdAVQK/YJg0/gydi7pHMwIyA6TStikPTAe3YtaKEXWAo
r5OgxPobzkcqWjWCBzbcFDW1JAxm/GoWcisOTi2/6L6HAbJaN+HGiU+0RPhjbyx/XFRNafRMjw1M
Uk3qiF71cTLal6lTJIkqixY5FwyHrHcH8G7MrAsLQK0TmQ5UNfIUbIcxyQz3tK+8NiGiWoyihNkf
sz7g3uAPyAB/YZzya2cP+HMUVjDXYKeTX2Cup+YqkxkGA0sKGc1FGjqd6ptbIppOYBXHLb+xSVZ2
cGoV1OyC+YloP5W+kXCOFsCMnsEJJ6AJgcPQn2tax/k5r4qQXpEeJc6J3+dACem+t4KLuLKKzkuN
DzYDvLGmvkgSH/SvZBzMTSji0Ot6hE6GksG6H+AMWivmh3viSC70XZWb/Ec9PTZ6eWr0r/+FZ0u/
TRT42czpJQXzlGBAQO4noQKpXWC4JISJEkI4yiAi/0WoYEjVF1A4+3zy9B9ChUISP5bQYgouQaEc
RvuZIWBDl18gBpBkHM5toM3+W9gUvroifi0ysiEXCaKi1Z3jUDAAtSLrMUdaJCwfoCf0ZUrHdl4g
n8GZLr/lIpjlvPlKaucmHj/6Q7sgJZ6RUnxs6uDGT8YYVhinbsFir8yGC+c8Cqw72sU3KZgzD9Mq
WoD1/w6Ub62GDgxOGh2jIOvcosnnNq58N2wjcCMQ/svK2uI7rjOtqJ90s4hpfz7CsUCnK+fYD6rT
DMIzFdHwa2rn59kgb0cLGNBCVG6ny+UQxR9lSJeVg7/17UBcp+4v6ha86gH2Kq8oozM4XQmUnebt
Vzjx/ksDOX2WFUBbQ/jheKiIbuIm+QsNfDxhaXDiGyufO2I8HkvyF5xhX8qscgeHX8tqEY9oVsq8
UkDa3zShvoVD6uMO5V9NZQWnnBSeNMxNs/YSR3AInAyX/aAvITZyy6GKFfgj93lRfwBjUKrS6S6l
7qjKNTlh+TwqaxUOuUvIdVBeVHxe1PFtSSClAFRcGDM6qsbA77PEqNquQjeOiLjxma9y25jj1gH/
CbIVFpFvnTtp3h3nNW9dXzezLo8+gVE7d1A+zpkTWm6bJMcl3KtZWWHn1QSo97BCEESMoWu3zdUg
5DGKkKMQOM2LMKMPtdbsNMng85LENf/D3pktyW1jW/RX7g+wA+AIPjaHnLOyJtWgF0ZJVQViIDiP
X383pbYtyW4p3I/39ku7HY5K5gAC5+y99qHHV6ep+USWWSQogU85mrmylS+Tn4UR64PT2ImLrsKr
onITX8KALGd5GnmOpiVIAugGUedOfqKJN0Qmn+uIL+UU++NAI63cGvpx28ZCdEUsAnges0Bl3xXL
ddgFL15l7bkluk3f2nFGrDmy7flmDPw2DqiI/dr5PNuyjt1a3hpayCTHL2dVzgevHKO60E2KgYzs
VFt0r1l5ruT0cSimh7xtP1U1G9GVzqhqfb+MSgnXcm5okSjZ7Ye5K5OhVo+9aCowKkEYi7y4yVrX
iWEs7QralZuGw+JaZpwMqtw7tgBlE7B3/B6oUKqL2+Qb5ZOtRzVB51FE1cDsaNbOnVzMR03FsaPj
uVxsnI+dOWRtdyJo4+2iX6CPV3s2sE+y5fsw51u0EDAfWXs/tuIO1t0HUfp7YspD37hvpe/vFeEX
i5iPptUffAX/TC/jyXWao9OX535QUAbUdKOLYTtl4uT2fmIWKP9huaeNu/Fmd1fz/MBdUkXN7Bwr
PR7Hllyjk9ebfkEPwbunMQAl0brLBqrKperhdc1LcGhC+9YT1VGJYeequccnLPq9HOyLS5ozr4KL
qYbPrZgD4DD2XVu2j9zUx2yS5z53k5zPt4ZoEinc9EpDkBnFI1fB1uPlrvAF28+e2frDCA4m6M6O
AW0Dne7GlXzv+vZNYQ0ZHNw6zvtmP4TkiUyjjlEn6yS0+9sx9wCaDBwFIPQGsxRPaK12QT/E1dwl
9rRYcc/M2dH+x4UBsLHGtAvHjRbDs2n6XeuR96XlfSSEnS5t9iQwdR0M1YI+/NYGRg67d9Q2mBoP
e9/kOAfLLZa08fUx5P3JDdV+6vouskCSQMe5uIM+ZiikIlny85i5RYpO6NMAAxuWi76ySLity/Cq
QX2LVmTaFDWhqfDog6BwZqn76Cjrimbybll/Qod5nyo64W7kqWOPR8qtx4kMF4fSK6KmJEfTnTbz
+GJb/hKLigvcJ1VSd/gtGuptTM/FtmbFx8pxznNYdFEnmp0q5VYZVCStTx/wEM1Djfouz2XitdYN
mm8a2+59wPtUiOWT1MHd4nX8ZCC47AnPbqvCnC1Dsiirdeou3kda+dvAzuCij95Odr6bokGwdwqG
nW3zNzV3MgpMSY5zMJ9Qw9oQaipvQ4SzDWqvAXyTV7E9sSbyOdnBP3pqR3FXm+U09/w+a9qdsRYe
TSN7MKPY4jPf81k/dnU+oBm6VkolkgyxLf0Z28q09dzyMnb8XpClTZg/7Cy9bLuF7ZvWv1k03TU8
xFdDL1aNniYHoTD09h1EUJYSauqENSOcaTreVI5/bjXO+1S3lq1TSC0wIgvRYfP3g6Nt4AEXTA+b
vPajol6CSLABd+dyAnk2RxABm2ieK3SF8zbgJrxmhQdeAy5+uliijuyhFhH8wQnARvFpAMbh+kZu
cMJ4UQ5DM6lsHaOAjL0vipUlkgliUlQO4XCQeoI7as3vpmn3Hu7iSM1GxY5saOSLiaWe1o9Dye2E
zH6TwCkAtwahwYoKkIJxU3C41F11MTXtniQNQFZ5S2NtejZ6N+1oloNmS+VEo3aZiIbCXa3mRSeo
9E+j0xyGSlzbTG3cSaaBvTwUdXbL6+bY1xB9wEmBLWF9amj9lI1QWAI+pg0FNDioadu7mUIH1H0a
ZB9TxZ7dzDkP44xDRiRFP2y6DG66095XBO4yC/IX7KwPxGl22ZhfiDe9ZdI5Fgu+pjAXKRZSCeTK
eaoW7xiI4pwJ7cQ+5ESp1QbCzAE8TI1tr2eJ32QXSbwEHdBth5RfFBTLvuL+yZvEjjbAalS1L8Ix
8kqiYJ0ARvSlcxOOxV034cAo5zkpjLk3ejRxYakjEeOeEOuMFHaMUmhrT/UexgXgj3zPg/rIq+7R
d52jhlXbODhpHbZRrPqcySWVit9MGSqF2avSJctTTHaKvbp7K/LwZBkTt1h009Qf+1B/9h3CV99r
D/v2trFlCgwvDl05R07h7/KJ3LUrbdkZy4rh+0RzwNOlGTfZwJMwkyTqYcB2ku6K3n4amBtrCUfK
syBYBkAFM6xHYUC2zFo9afTunHpQ7xo7DVUPio7rvVXJhzDMtg5brgmU1Uh19H4e6caR1WNJfZI4
BdgdaxCvWVMO8QSdIu1y52r0yFXGnY8T6fwUFv1KMm5lKPYh2MoN59lxUMtbNXtXXUXxiUcN+dDG
YuHl6MUj2CfUUhVNs9lnl5KWB+P2aakZyNaO3GjXOuluWlaWYtMCvYsyL6fAHkmxy2f/2RvlfBdi
p0mUnk7TxPrEGsvHyVtugAk827bMNpWon8iA8gX2wka1g45Ni0/NMroL160HRn80lGG+442WsVep
cwWVQHFruVh2c6wor6EktBP4mOJ9oFOLErE2CSih91nNCR3qOy4miPtLsR8DW4Iz6E9Ls57anvs0
UdxokgAmaKYQre/swoASVwpahivdfB/kS3uqssZHP+k82lzD5ABoFbb6mYAE2a23u+8MkHsNTnPV
DM4zy7s7U7k3dJzEKXQM1KRqzytyb3NUNKVHIjH2W07KhBTqVHOy7QO3AZ1UvPes1NjL7ZQ77F51
5UF08qgGH3XmOKWt3T3NtL4NJ5C+pgquJOVXRSBBi7jz0Uzyodbhszs5t3iEc3n0HGnSnvvlxu7c
56UI92FLrVgSYbZmwAtbNd2UVHQJfLFhJzWI0dZUOB25WxDnDgamjTaiaSw3ZXp2bRkrx7dSm4ps
kfHPvaXvrSW2zigEWY15kjjjQ4w5+6GBsgUh0O+MuMiqiow5t8sUhe7dzy8ClPCbLu23i6yzdcCa
w//7wRlS2dQ4VtuKC5n3ljkTKwc3e9+N9z+/zPfe8L8uEwB0hMvvwhxe38Y3fmZGSIgugKBwt9/H
8oPl/Mri+vPHWMfpIr1I0GyCpvz+9dtw9svSL/TFjFhoO5a9/O33H+BZGfiG8EXhOTc/eNs8MNni
eHVxAftWeNdeePr5639v0P35+/nh/bu+ormFrfTiFluriBXdNEHiimh60zL525eCtewDKoBPiOks
P/wUmoE/HJdSXYjc9U3ckagCPOjGOIat6hf26Pq2/3B3v3ys736WdYl/87MTKmAu+VpfKicOQcqj
7+oS7Knz8Asf+S++v+8u9MOHMoEMy559vZAjEpNHU77BObIexdUv1tpf3JcYMYmgBcPpuKYtvv9Q
jmfsEgevubRwAfTLMKVe9vnnv9Ff3C7fXuLH5ba0Hmolj5iLYS8ye3at/2A5wwl24VfDuwZ39/1H
kLX2OteyzUViB3SCSM//weYFFAIOFdQfG7PK1/zIN7+8sQzqe5+WlyV4GYOr3gCE7H6xd/3Vj45F
HHgAl8FJA//57hphXlQGVm9xaVD4zTGrI+rdIDdRVsni/GIl/8W12MotYZwkCyj0p++vlWcMnIb0
zCVfe+pUlHE+p0Edlaixbr/8+P/KLF1/vT++pm2+xd6/0zP/D+L063n2zV3wp2zUPzXCAa9YyH/g
Y6vi+fXPflc8Ac2vT0FgcDHZV/nyd8UTwwAD0GDEcWwCvBK37W88PSKyBIMhgWesw0tWZfN30RNj
i7B6kKnDg44wPBLr9G/w9OgOsQz+2PC+xKKQsEJcC2edjadc/rAk2cTrsGd5f5GQAg9Mh+65MdOR
oZSNvb558JHtqWWndqYM9PKWl21t3fTzDFsbqCwcVQ3BsTKgO+ebjruHsi3KTa1bEdEF7GKgqLUV
enAjt8o3XA35Hn47iXmVAXgcW57H4VCbTRFUur+befUcQvaLLB/wcwDTU8aV3bqHYbKWg1eZCcGt
mSEP0muVzGtCpENUhIfIjIg1PTLTEjwIVeFer9mSak2Z2GvehDlfkieQhtYoCltTKdWaTxkaiyTB
mlkp1/SKXnMsth/CIYEgob5kXDgakw6pFw/xF7bmYIY1ETNoFDfWmpJp17xMM7ZXaM9CAPP1c4NI
zYxoTY7uy0bUhrj8OK7Zm25N4Qi4P4gAsHjsW3R4a1aHZ1aX4mL8PRtL/+O8yCHb1F6dR8BA4NDn
Leropr/NlXPHJDH9voJw2d0ItNs76AqxqXN/V3tza+78joRNlPdZMEROkLlbh44DMO7Me1dZP+7X
wSzb3qDpXwpzPcv2ynerg9H5VU3sI+usTdmOB6vwk3KBu7Lm0eQSQ8B6HY19K7rw+b+bB3YB3Fko
uf59Fuf+LX8p/rR3fP2rb/YOnEVIufgOGM8vIOnve4fzDxglqB6BktrwRXAe/2vvWJ8o7mGkEcPY
cPBTeIrlH3tHiHHieHQWaldgmjBT2N/ZOxAE/HHvAAGHMZjrUxZtBlftxyNTo+yEvMEuQ5irNpGO
8wE1wE4aY+EG5SntXKwca5hBZ/f7aUT0pSxsP6VDeOg8gBOQ1eiGy/meWWW97SXobUOFjlAYp7Kv
PnN7ohTibz8htuKXvZU4Vv/QssW9BZEzbv3Gz065O/t7OQWJX9swYYKhOYPe6yOP2/lmCuinLmvf
CZDxXTWaK3T+qyxetioVU3870+kmgPlyU1eFjrkaWUK0QViH+UWkYXZEvA+raA6rMCrwrtikNpL3
1o7KIEtlgYQk68UrNfbUJ+0aauiMHHZ+m/GIVwtYfweYgcoMvWS2LOGQgort8tDsAqppBHHyZhHa
RE1AIDmEokE4KWRR48AmDp3xDHT8Isv8MBl71zXFqk/YLx1QjKPPM9C+3QBMNZO3cD1i5ZfHwSJu
1PiIPYminrdLDlKs6ZuU9XUeN7mfpYRZH6qlhYHT7IAjsL1XL9dQ7OYE3tijUwefy6a8qhHnxR6Y
HxDRvfa67J4PRkYjcpuDCt+byt2TPjx72MGxw1l+TI0bwBcvn+SoD74Rz5Ps2ngOrfeJszzuu3CD
U+CjZ8K3ygSgZ4AhxNJA1jU+vpZBOxWinzw/CQGiS8HZ/mib8prN8kGRAIRcAa5SG4CzFmKXaVEa
wAJt++gP7TPzp7hE8CVVXEBd5yIHjFE/lE6oNgXRXjQxn8OZme7RKMfokAcnFgPpUrPQIfY1JBzQ
YtdVC8GeBKNMm6X/7Fbd05CrV8Rs3E3m0NcqU3KTT3l3MBlsaAuUMDfBsPEnJ4uXGgqzwnLd9ugZ
4RS5BdKwFJpJ5Tp7qw/DLWeFjB1W4kYo2fuMWLGr2k9ONUJ2AMWWUtmqpPfbd+Q/fbzbuYhx71cx
UA69Qbog8nPYSUEThnEtcI/AIAepVeYL8CVEv1Zhc4Q1yWF9ASedLs6Q7WzPXOeTufiK7S1LwKvf
4zjPxnOI12zd7q6qxy725+BaFf5jEBYXZWrEoBw5J5mctopSkDbirTXdU6BzkpRTh2pVVsj/BGET
l2EX4lAzm1JVZ9vut61VfIAbsFc1P3UFwkLURgdlz9e2hvnRQxcOxhCrfZouhbaXA2yI57wVV56P
EsInY7CXdXCyw+IK1chWW04HSAE2ZqnUEvl+JxKeUwaliop9L8XJ7sWJFtWzpoDa2dj2kU+zD27g
PfZNe7EL5W7he4bJJKkfQ+X1ksZ0MzLEgYqsvttCJDHACpcpRgTkdvSzxyXD+6urHukn4WDrwd9x
sFIR73RSSbXPluatBgGU2otGVia04eSWC2prX0UhvtZ46PJHO3NuutHhCKT0czrI1k3UAANX1eQd
sxSOrhAnAWo1mnThYFnXUJHE8+I791mG373JSqTeOm1FStJbj4XPcDTQ8jrmxraQ+aMLTLSwhyYP
u68GZ4W82XDT5P02M/b9kLdnMlhQkSt2AGFeI2Ne3GjIaVMgrEM+6g/C60xCOoTSZ5ZCN4fuP9le
jC5Lx74ZVapdiLULyc+LGS3UDuWUwH5550t2X1fciWZqK3y4vNpOuXxtKu/CS4pKgY1LArPejg1y
E8cR+t6uY9UmGBHWW+rlBmTZmCLYVMUq5HeTI9LetnZhVh3DsBg2btUcEMOAD0VzEI51MW+d0e9j
7ZfeJivmp6Ihm46Tl7qdxHay8x4m0HDl98UH5LBPS1DiT20kvQd300ieIp1+FFWzkwjO7KAgqHhc
fBFB89nOAf2MxNfZ49izp9BJfYk8Em3eOikAh9Uvy8TTQODubOc+Rg71uWQmyRRTMFIyRIvILuiw
m/Ju4w5YBAT7kYOTIhCaJZ4yMB7m4L7qxXlxvTfVYaMUjl8idxSAk5ynqFvEmTpjE01teGmgkm5t
d3zQWLcR0wjtBSNc7cG2ItxoN42HFJQfLOWWzPwFZ2eTliJHYhzFcor+wr8wZrGtFXj2tmmbJ6Ho
nWd6HZdL+AHmxLNUObA07AtR22Fp6KCi2EHoZrHZJydjGEEQNhu8v0+NrEuge+Vrmy0awS2Y7CZ3
lisYbl6SVfU1zrzz6OK/AXY6dlBMo25oMHHAKtOw6F8zX6FxDupXJ0ezLkMgRFamkLzMzvC5MKOA
z/kmLMMh4VPngrnu9XqX1XHGvKs8ILjLKmEi5O0RG+c7YMp5GmCftDDyYLTM3Vwu+VZY8iPStp+9
MYidvCi2Waa2qCPwG2TDHfUqGtdDHRwWK9hXXY6j2LgKBJUbxAJtSexbtL2Ei5vwuXhXRJUxK8bL
FCDA2lr8RBxRxGFXvTPL8BSN2vNYWjS16sLDK/kvKve8qOLWE8IG2U0DexS7OTjDszvk21y4HkKu
fc72BPne+qrUusz9qBGE80iKelhgk4V1/lWQ+//ehHvIUv2sjj6V7f/8Ew/f0W/tj4341z/9rZjG
CGeouWio11yBQ1a657dimjLMFXOhpwcOAjNQgX4vph33H8xGlhoVLtQz8iUB9ht9hAmDIYMr43l4
MhrzkHn/G4349xId5F/KCEEICS0/ammMQvlerZEADdloQnnVF+mC0ivLt+6vElo2Wwvyb5v99SoO
RtdjRKZrY5b1WtB/o3HVMPa0t3jyqiul0EnJCHTHsJlZnDm2SqWDxE4J9PQUcAb+uMplrBe4S9qW
t6TKb7RgW9vLxWkkpE8ItbyYMtzAYDVITDh6e7vY90N+FkO4Q876BOH2Buf3uV7KI3T7i2j4gUg1
R8Ww3gykxmiJWSO92XszIMbwlU5goMF/4z92ChkL3b8Lb2rgafg4YJsMlVSU4e+nwArBE9DMP4xI
zGyzEQ1AZ7VzJEM4a1O/lDX8NQPA3nYfAJUGwIc9B9lJMOUWIkxbQVTup3lfVzpFXhlzBEo6JzNT
ZN7xsMrknjqmA6PqsCt/budpG/RKRhPSvWjkncphD4tdg9qpbYDs1uJ7W1qOE2L4FQ2wAca9V3Rz
FpHJsy6stq0zXr9KWlFGyoInWVpmy0pXJH6fNfBhbZ00ARM7R7vq0E+1z65xvdb56M08aI/2XA4l
9ivntkS8bLrO6RrV5XN4DBs/OAy858/rEwkehwD7Haye5c7tTO/uWam8BhyVNy47lg+ZH5OxDT+U
JcLHvnGr1OqJm9jVlGPTUmNccz7vBxynV2HfB2mH7/wEL6F9aXN+nGaQIvMETCesxd6ykXmGGwQT
Xg/j7TL0B0mgNYYlDW/57FHUhrlI2Bzmm7LC0JBJubCAaRLU4hFe/nDCTzegbxMgQtDYJK3tI7+v
J3FA8An7PmaUbLtO09iE2RoHHoACzSDBYdbtRtcEST7Z7Q2vJE2ZVZzhv54H4P4bQKo3bulh2kyP
uL2vd5gapBLukOs2HO86YMAfOKLk7yXBeShV4o+T/16KPvGKNlFZTe+J1W+4320su1RpaMGrZG0k
J9iYrV+9tm33ZgQetynnh1paSeMMh3AqNthAAD0vW3fCEBg2JE7Y7YDDwKnME94Mn4jXn+vC2uiR
pk4DS72fPxvQTLz8jIwQTUZfO9sJ9HuivOHZ88UnvQAHQVypPXRI5CBYsJzswt473D5joFAy9uoZ
KTikDx2dGBak2eBvuM12mM3wPGVtygs0KzWpgRPyKqKgwffSQ6gRwYPEC4JrfMZbr+9RG4qFJ5iC
0cbuQMQ5h8ET55l902nMxoFkd0Rzg8Xc0a2uJ8BIGSo6yGjHEDcRKYPIDhtMamEnVjknFI+P1tLF
ygvuepvfmLo6Bfj3wQ5PwBNu8lActI2JMJkUiFlNkT0rTMXAPJu4R34u5g25Upb6WCr6sVLFAUN0
j7CrD4iA3ywjTcCKJzhVz54r41rX8xHs0g650hxo/Py5VsGuD5H/byqBGP8ECGs8sHKZ9/VizKFD
bVPMGSYb5UYnM8dcD29yFIL11TaDt3q7zFb9C7OHOn+xv6+pQTwiggEtxT+/33nzmWKCg6/FVVkr
G0VgCC1+mFVSFINGp+SMECGzDccYkX1RLW+0qtubulbkni0Mesg03faNPJEpS1QYPJKp20Lxe0dR
xlEvNU3KZUYif521s2BN60zEZQZJYJQYTeXWg50ErNsNJeq7YOljIdsHO8jrdKCdE1MUQGhC4rGO
22lPKxVEXWa2VMIpwMARjZESbRG8Alu76wN5QMLluLT6UPf2KajKE2vtcNuNSJ60s9jZU+7F7QCJ
JQM5mrtyC0koQD/b3rpzT2NMzDqQPMR97XByyjraRbKZPkgBiTj0e0A9M8A4sZi49jGuahLqPFTL
Vd7KvRq9rQeWMhGYNZEZjOboWbMSRAiVdTL1eHUClw7N2SA8Aj4P8y13ONcaNELo0Mq5xSio5qKk
voWyDh7BDDrxjSVQvJIoa5prIDNDUmBMWNQ08oM7A73kk3gJSXBEkg5tAhYoa5YN4j6vaOW2tEJB
6NJnWQBqcfzYD93diH3IacvXMgxOpCYDJkxZrxn1lwjhisjvMS0FQzAoYJB1L+tOArOhbKI3IHWG
iFnqGeOaaCzbWaVuzi/O4lEU4MBC3EqyHUIyPYQNZzxi7kRz1git7L+pnv5l5fyP+WNQ2vdG3pdC
BMYCpEM8zRXexPog7m9LBAnkZWoGxFuzXiSOPDT2rxKoq9v4RxGClwTDDeuehXgoMKRD+oMxhUyr
QUvLMdfCR7zSv4he7ER124wSK0HHwkdqTKY//1Qw8n5x1fVzf1P69JXqIMVY1pnM5g7T6NDD4v/g
VHziLmoPKHIy7pj36GfOHriTigeEEXFXjBh1YcM8M83yVFrBSXQuiZHw2OhwpJ9YDoK3IPKDjwYi
4QqDa7T77GdIB1Lt+D1WkynTfglMyiqrTihArDgw87zvEa/6VBqJ9nEpEKAR4rPGWk0RBMwT7MBz
0sESj4c+vOtd8HfYDz/A0oCAw53rfO5eZRDucCjdt02z8ddsie3JnUNyK5UEFQr4KrOdl57EdeG7
STOiqw7EdGvnJjFCDHHtcD/ywvmIRf9et4gqt5XYN661m0f3flrko0vUwevAdyOmz2FbODqWHXoz
JIj3apFHe0SUZc7sxNGE4IBR2GXJ44AONRKyOLN82ppmTIdswQomqeo4QohOlZSyYFG1SJY0OjuD
Mo65F+xoCQST8ekuRyceTZV133doJR0HbhFma4BZFkVE+/LFX4FwUqyKbdwgxhW19AD0yIoGD+Cq
AQVUUfrBzPluyqYJDk9/VQEuSGTl7RvQwKwmPXAtFtWeu+WVewrAw/5iuf1qjf+gjI8uSgx7wWqT
J3PNr6xNfawfxu2y93b+CShrHn+2wcgd6Nl8HI8/v/j6sJq/uMECaOewfzE3cX1z3yx1WoFVVMy1
zlXiReZkx9UGLBY9Wo/BhqTkw8WKT49DKgETvuB/9NV8ItFBbLIriLDFL97N9wff17vdwfAvICg+
2qjVFPn2zcxkBPpIZX6Vk+vK0Qi8PTbD7uef+Ps968/X+MHDXJqit/IcDlZZv/FmF843P3/9v/wM
iJkEIGocYEc//JrFhBk1BFHVq9K6rmGuNR5qzq871H/bd/JTG+yfQFLN25879/Wvfu/c8QSuFcmA
3YWAEKzyPzp35IlIgNEsACq+zFrBUv/NQkdPD5TDwQM3PZwyX8yp3zp39o+1pQ+AEiGHBIP9701h
+dOsAjxuAuPo8AbZ2lbjpvt+ifMGnoF0mL5YtH7mokOYstef6OztNYW8LLGvtU2fBh7shQGDIR1+
Cuf6amTocrOxqPeFqAsQolbcBL29Qb20IaVzN4rBTllQ9vHAcYd2WeJbJVLJtHsQzK5iTfUp92oo
zlaz06p9KfyJRz11XzNbtHFlFRip5k3HiQ2vqofCtra2CcTC1J/hGtHZQIjqLbSdhTclyO11cdCH
0Dpn4sddaeaNKSHcz56XAJk89pOHMxMpBwdTGBIEKl9L4h8A6IGXnwDL8KFVEQ4nDAzD0AoThNdL
SB+x+aOVZ5jdlefWCN2xw7/6EgOxeGVHRcGzKMjQznSbOSgzjKsCOGCP08OS83MXmGMFaTjHZ0Jk
Bt5YYdu3o1AJxIMiVcY+Z9S+z2bdwY7viwhP48QIlnZYsxwWiyAF7QpnFpAWq0fmNVbs42zqgYOD
G+d3nS2rj8gRP8yLOx67dUyr07VbTUcMC6ibjxNHWNSobVGNfuT2Xhm5KHIxDxMdFeiac87tB6du
MWVUjBfLd/1UqX5JbG8BOBzifOFNaG2tsr91rPzVwyzYLTLLMUUS+Vj6L930grg2JG//pZ2dctsj
c6R72EhNBbPrIaS5udNEV+pN8OV1nPLbxYFnFfQVui0FKZe9NFReZVjfEBoN2U2dXV7sJguB5GXt
YQ6z2A0BGCALBOtwlhHJiYhzN5yvHLkgIinKYtxi2sPjaNB+iCI/O1P5hgQo5OySh2hPoXUs0Ze9
9L/7HMGp8+/t/n8WL69l8xf7HP7qt33u62bm4qiE6f9FUPxdocRwZWx+ro+t5gdSCOM1CbRJIKRf
hiR/O2yKIWsZwMvAPKYQ7jxK+b8hUGKf/a6sWEkhJOYJpvzgefHQO9dnW357kpeVtyhvztoL0c69
Kts7u/WOhdveqKmCNTy4iEcRGLXU3ckZAwULpTLQ8z7GLk49pIO6QiJ8xqg8zDC4Je4C06wKaDS6
nR+1C73pSI1JRSFey8DHSbWs6D7kjR1Vub5rAtjPqKVZRMvpbNWkjAojK/g5gxVbk5clQRfIVK+G
SdON9RUxxX0AiugcDIs5SdvuQBWgA+MZbjFbB1u3RQ/IhnKM/RyK2dKY+9wwIEBWAQMDoZAaGZuM
dTxtFQYdBG7xhnE4DxglYkXa9nalY91ZC3SLrG7Pyzo1YPH4J8RLJQrLHoOWyzE1zV7SE+XO6/+y
d147clvpFn6V8wI0GDbTLUOlTtU53BAtqcUcN/PTn4/y2JacBj7n1hjMAAOpVVVdJPcf1vrWmLx3
ht+78aGuoziYcMx47Tqw5llyJjfFnAf6KpuwWbJ3tK6Nx6L1y9BPJzwmE/xMPlA3RkfZOedFsREk
VKGyXg69dpqF82ZmFraGjA56MdXAtc3LLqadLRl+iBGiYz1rN7nVFfjAhpAZMV+JYWOcjGN5tDuh
egBC7vR4Ereuknye9epWVg58gIKSP9USbae3Nf2BPeJVsDjKmqjuwyLfWJY50L9OdS71NDkuQyo8
zJhB5lR3cy555KyDFrYGRCPWuDh6XFAz6MbbMG778T7uVcOPNPc5VuoM52ezb9XsJHP7Qbjru6bE
1b5ccq/nsZeNiRvUepJ7DYgRrxENTtNx87e2J0Pjs6xdu3cNVux5pFWUmgw/752o5YVZqDU5sk7R
fU7rCf/gqJy5wN/dmlEsW8LqlOTaS9eOVx2IlEBxBMyvyfiYp+FjBOK5k/3MqFU60cGezU8lt6hX
81b8HGHZDhsA7WQsL0pHPY1Z9tqs7sXaaghf6mRfT8pli4XJk8yF2FxGmlfn0eRB4b7us5XbZ3xI
4uhTm9jOoTLgxGRKeY9ymw5IH55bw2aV3scHx8RGsLDwr2FL7xxZHa3YfOwSNTmNfWWxJ17v+Ten
y5ZOCGxEXYd9bHX+N0TIiFtup7nblzcbi69akRVokXiWjEP8cR0GT0oGY1IfZtxSto1ZJMUfKQtg
lLOsX2I1ig9VknTnzDJd1AFtMFeLtnOG8snR14zdOEKbMdM8qdcgFo2mCqMiGyBE5Cl3ew/FMWUz
W2e0tswTjurqqMfWwZihRcWejb3A/2ssHo9F9v2QBWTWr17dVgfRt4dMsYKsXpkTZT1ywEJBEWSK
3ocgwmxPJHbgMjDtBfvnbXKqCPOcAVav5fiozdmF2Q2n2liuXdHdj/Y4IBsp9wk7Sa8qoxXyrnY9
zgN+UbNCVZycSzHc5vH05OSQbsv1RUaC8xaCnVfW2ROUpxPT3cMi5cPWoHvtUKmeCnjTc3HH5LIN
bbWrd+XCvFjv5quoM27ziqH4zMzX1puTzrTVW+TwVZjRWxprN6LOriF/nYGwU6ON8lMUmRiG8vWl
SKguROs4IZiTN2Zw6E4W9qC93jzUibiYlWZbKHPV4Jha8idjyMxDigfO2LskGIdJDaTITOvg3yP8
m2JP50j76yP8+r15/+MBvv3Mrwe4jihPQ55r2+TbbNLc3w5wcudw23JFaJzHOmEG3zUqDtJbFL3Q
trcznJ/6rVGho3D5E8PU0ROSjvBPTvCN3f3dYGA7wVH9YTrZqGpsUr4Nqb8bDHStLIXJXOIGTBiz
FBxFG0KDp6m5PGpZu48S57OAvcuef/ikDlyeW0ehzuJCmlERtLnyiFg3UM3lylwbKAJ9udOjoodX
nN5YabFbIucMrRQkojbokOXVfT67V5NhXtZlvYc5cxgyHf8gogHHApvQxZzqvTXdW2Y97HpD+1Cs
6oIyBH3IKOIrexMTKE0OlKg1w0XvTSyb6r400qO67f4b3XmyG+OMz+/GdAEPD101upfGWDzl1rKP
5pyWxXRviyy+j3GDVYzng8VEcBYXtRosvfiY6jjj+B4aQkB5ncUc96vSEaFAn6BYuP2UXN3Fs4bD
u5gSvM+p2vt63JwGNc5DHUkh8QG2G+RJ66eFuXPb4lPM6LRfeOvNKPdD26U5+rRsP6/2xtRnFzbl
h66qwjnuEXNJHoqi0I5s+C7QU6Yn1qqnCLQDRxf6rygHIABvxncn6x5kjLVbnI6nXzXyKdxO3DjQ
Uqpp4FBaXSZ60iyOuPGvrdzwjarqfdlHbzJ2HjLFMY+pYhzEEn1gSgJpCxsG3TrMWQgOnl5XKJqF
ONRJJOEWluoD6APpcegdsWzOgYibO00rDlQctg+DSPPjFVRRncroCKyAiAyVBWmTIfXD/ReuSbqE
LcQrlJj5Z/h8lT+2CO56ZdXv3FYDqmnmIXy8dK+oWhIovabuxgn6NM9hvbzKrYhjblDMQ7xVLJPi
5MfGISrChhU+0tx5lm5n+742i/bQybiG8j45ykmzki8UFKi8o9w9rQ1CQ63ojl0bP0Bn6Nhh6Qeh
NL2P3SOUyWCGI8oeZ6zqi8rpNrr51xqGryfW6UKdx5dG4gaHg/U06G2GrdY1/DFqCHRwVJQpFGHV
fFmWqvA7J7tde2f06zpmIWJeVavDLaE89ZOm+oL9a6Y3vOtY3NjQuAdH25lpVnlSsH9xc7nPbP2y
sDhpVLd/WxtQb2r+6M4ouEozOsZ6a+7BLpR+prVp2GW13KVJxXoipxdVINfH4C9d96oq3EOPH8ef
bOVLGqWPtbK0fqzECYQ69YuRNk8j/ENl0311BHG9j50ZKpryClkfkU3v0AcSG6Ihabu1cvHWN+OF
1Owv9iovcNper5q4gN2Ofr82b2ZKoauqK/cFpK6wsa0LcEI++xPVU/TkbqTi9AgDfdPth1wJxeJc
NGm6c9HEoXFIqVAY9KYjfUCfF7dOaiu+XnfwpwE+sxj3ca6fE/RnvmX0gTFFQZlmoaJYh1VONcce
ZAtqddfv0AQUiXsFz/xoj/kN3aw/CL51fZIXoz3H+7xc31xr7Hd92fmWg1q+Y76vZDHapPZymNaj
26SfdHPbBWlawDzf9Zo0u+8L85OLii4YZom6rLWfYqWvfK2MuInrZEa22odly7PQc9diBrgFLfD6
3xP324mrctj99YnrDX3/Z7NBfujXI5fGGCsMTF4VY5tuceT9ouoh6hVZDas8/vNN1/PrkYtEnnYZ
r6r7WyDRL0fuFklmcpUwVDSQLrjiHx253xxdvy27vh25WBcR6hJsSHTG9v6+b5rHZpZQFhPjRs7s
jdZ5PE6sFQMNrTzjlXZXG+zXun55hgFgBDIWn5F+X/ZUc4G5gdSyGQdH36G0AzvuVSroiEztPNAC
QzDL8XruLBkIt6t56AyfFrd6TdI4hO53l3PiVEt/Qt501zZ01VkLe8RtdImuW7+sSjiFsWI/ytyt
/QLvG4iz6JEopGcTfiMdDqJYay5vzNi40SYrdNv6ZLN4zc3VOK5j1PlDrjv+yJYH1nOoO81XLD53
wxSbpyqO9s3SfXLShcCilXiAEtULwgUPmVHuWahuA6OJfHVmumk3ydOkDW/5PAo/yZMDgQKV10ib
eV9idMgLud3SxrjOy/YEDwedc9d9bUc86rNS06MUDrd7xywgbm8yc2xOc9nDJUvps+2yzkGvcZ67
oDeupcWpT5MHPagV61dHH/PrUdif15RfLo705FaHeuYlsvvAGe9eZXVxNF2FsltvFtA/0rmR6VyG
tj3xrUFn8bq4j/28RJRLI5l4NEHWnhSkGHgF0DiBluNWjcH2r00WI9dBt11Wmy544umVlgbqwqVg
bWfMRaiAUNlnyUYv5tlqWDOsPBoLkHuRFgClZzwoZLqDQBPtxGQUYVf2OsefUYaVkV1iBbpY+wwF
t3bsl3gN0tL5isfb8jK7FKEiUyNYhiULtche9kTvFKGaEe7RCg0tQteyw89I8snmbti76ImZ5Xbg
iGE93jFCdPZDYyahoeHBVdUoCkYk+540DOW2wILslSuftJ0tLPaWau0cnpF+tkwkStSsShQIkiDh
8vQEnGnaY8x4WHR5Hga1ChPFWfAxNJ/qAmJBmlhQSwk5ODUuzU+sbdTtdfsVpTqrMgqVxwpcpic3
C8WymSn0OUa9sBksTIc5TrKZLlJ+757RKcPBmRh0JpNg7GTj08g3w4a6WTfGuFQOap/tBrMIo6ii
rwWc55Wb5QPnTOkxBkBfm2EI6TZriLWZRFbsGtk83FlTmePk35wkhV5cA9ztDzAZv/bV+qnXxmTX
NwS+FG7RXaXw9Xxjozt1rXW0lim6tBR73DtRJe503CypW/cKYuzN45J887ukOF8m3hUQHUApCbkk
0knavZIuD5oCLmImAstX8dBUm5lm2mw1Lv4ahseL14Bohi8bh+lmwlGEekgN43Gkofbx2j2UbXay
s+o82dJXFPtKmm+RrV8MtTW+MIj6mKz+chaK4lXMlgNnGqbLAbjqwXVZhqcUsvA91EudV0tQ/46j
+NrCIvW1tbhSJ1XzRtd+Wh3K+zRbHUbx5RdJqeOBnz3W2XILfP9yMBHX1lvKV1U69T5PNXibY0Jd
t9SAXAjLAg9fHivJisOWhrlbFr5CDSf7oMT3xRy9qfXw2ggeD9gjxsDOu4t00t7nHM6MzA1qQ1nH
O23QSJoyqGNFtynwNyaRhqVHjlcoLZ8Hi0GZrYgzQTAOriS7Ojqmyd/s1YzeuwB/1NcXQ6YewBZS
uIpol6l1e5O62Acy0LSeMrtBP3cfEsWzZ45pADnYesViV5ohlfRVpfefa2Efq8F8gVZI6V2icerW
TzCWIQnX84EPXewSnQKJsIqgsOzrJOMp49YKkwOSOVwC0lDLHZTWYiffBhkALYTR0y3yjstCl8zO
0uJTD57MroxrLW72imj3MQRhvlPKQY3/b74nTpr6Mh2+ytQ+gyTvUcUvx74USTjYha+I/Bbqq8JZ
gM7eWC6SvrgtXSXQ0uShAGOfWHiVBlRSQ5k+FGnvg9zsvCqSNpEY6yFytMt040khbJGu7jNX/oiG
isrScJRlLx1dOkwiMUbEVnWnpmiV/q2NvtVG2t8uTg8QjWDS9X+cSGw/92t5ZJBSQadPTNI3K+D3
EwkCLKiCWI+qBnKETejzi4NwsywjUduiW5k5fDMm/6c8onJSVQ3X4favqvydfxTKaP5uHkFKBDIg
RNRYptl4bEOR74ujfuCqBt49nQf1FMOGW+5quf+uYPwzOdO2hvlu6MGnYHJio9Fn1s/Sl8/744to
SmdkWS6bszG5mSo9YUpKkMTQK3Q0KmPfoK2tOb9d69RyrmGQ2S9dbOv5rcOcw0/UctaJ52uQxtXH
NgFVGhXAYtJwTbXFG1bDX5biHIFuL2oFxLzL7Vrf9yrjkSUhEai17+ZUHvD8El1YQkJOey0wRXsC
aXpDS/upWPJ3hQN1aJojD5aXhRrCX9MELqIMHb2AXgOIVpu7r92wWezSCckxZru0BTqslFrhgcI9
tCNgQNR5j8yRW0NyG1YvsaUeQdASRaY1J3a0HwVBFLg+hNcs5UfUsENxyoa9iDpTBshuhwUbRZ49
BU7VUZ5OeHwaW/00y+pkCKUMNFE9jFp8AkX/2M0JMUNp/5yXi8T+NH0mgOi0iK7atVlzVSXzFLit
bRA2GZl+VHf3xIojxRNsDlAxX+GrA+UhjdticmMf6fCLkhmEJsLmNXUMf47ef2UgypMl1WvPbutz
VYsLe+pE2AiwX0XeEpZF6oTXoCSElTRUYdroaFxHLDqiWZ81WIHGZrLCN3pn4h1hfVw8TCUmHdfJ
X4GXwVebmiOM5ey6oEf3EyU/SSVl/aO1wtOc+DLuPxtZvXOJ7kzLSffF3ErfLarnaKVYjVoGB3UM
mMoZuqAfCe2yzc9NSjU4LaC8bPHZQSoWOFn61SnhT8YCNGTbuw9xa30V6eRv5rq0NSdfk9kh0Vmd
aLPj13F5HnX5Scsy9OuiJ28zr45FChpd0MASOURzaxBrKWQ/hQIono/Z5zy4yiM6cE72oj8mRtKF
uCzvsdkQqwSOzicxC2MXD+AxtsO15vtznexeN0aGbdjaZ3d8zlVK43SxvuLceTM15hLJpBvsDRiN
4cDJryqIkX6cpY3Pc+UxhmNcCbNhg2LcxORdBUmNfl+bgUjCDvOaqR1CMH2TZ9vrKwOdB2vkfB2z
6kPQU+zGTn3M4+JRppVOMb/58eP+qrSVr73ivFIYCrwAiW8bmmTnEEEEpiiyaj3sjYVhEPLzIpxE
10YEKY2+i+CgfTDjiRAw5hZe4xb5Yw4F42iuc3a2jOmhbfWDsjYfJRuUNG9wLtTNF61vYYjZ9E1D
76S7fOovhi5F/yZ6TuUIxKf1VLnhvF+SJbssNw2Gotx1Q+biS82KlqO/JJdgnJwLxcY3RwoCEJcC
j9DK9RsbmORq40pIE0dnhyKA2gtiGoq5pLmWtf1CJthHqmJgpLEkGW/VdmXR0FghzXPE++YVQPR6
Ks3hNR4whvHMuesqLWQ/eldrxnFCs0yNhDokftJz61UyI6s19cKd4m3PdYZWf7XKfrcOJAW6y5dh
BPGf2FmQyz4POfr9nMWrLTs2LI6565rx2t6wiG1eeMa6BklqTl7tsgPLHAXjq3Kz9N1Tmbo5EXby
Q7L80dv5WZEf5sCVOFr2zhD0HH5UTThqMbemlZ8Ni6KE6rjYTzbS+33bdrqfxTN5tU7TN9e5YbyU
tVDuMVCgjK5IRigynluAQ0WDXYSmc98vdec7BdWgY5RPeIR3bHpfpql4kq3yqpZsWtTBXM8ceO2u
K9r3VteOSWd8mSPnpl1ZAZEQuVWdOABzwgawYmElzYp0VwLWehCls1zFZXKfxvGnTEcuMoHCvejW
xQ6bEp10VKmLz4jstdL5FqfkIU3rDJc2ZvdRvgygvO8dxSh3EXgqVo4t+rqUswc+PM8AhDZ4xIYG
4FnvKA9A8TCbLFiZ447NE3e5fI5cOQSit8sDd7MTtEUfCGscD4i0p32k0+MbZb3sp0rFGAhPlr1b
nnKzp+ZhIt/3IPMRln1/J0WCeFrbZ6MYvVqJWHsaLM8t7aEx65dOm+9js7OOrhheapc+VGDr/Hlg
9ZcBLptK+Lexx7dD13EFOybLwc1kqr872a1iYDSvt8O5dqbQ0m5IWrR41ya1biae//6I/7GK2F5L
Q9+lwewE2exq9u+UvVJiSmbKN53xwUb5U7vsEuXp//cS21v4bnEyFRhjp6GYzg03Jvt3oJdvorn/
P7wIcTew/tkSoZj88UVkQj5yVk3T2ege2vpyVtgKHv/+Jf74tfCr+u4lfjeN6ge4/5qYp7Nw7st2
t5Y9UMqbyn7Plv/ySr/ToP78pXz3Sts7+e43ViSjWVo9H6bFlKlVlp/op6G8msZwLE9r+R9V0V9e
b9sb//F603DoQcpgDGi4CP5+fLk+zua1gxZMg/OiEc1oWw9xcrGUL99+f/+KlzZN5V/PYYnKex8/
unf5x2Zj+8Ffmw2aA1SYaI34GvgfKvFfZ7HqT65rIlFyMUxq5iaR/E2nyeOBSSxxVKRp/bD+tH9y
trEpPQjoiY2D9I9msdBNvr9ImMU6bFhdxk+wlXTXtbdO4btrsoodhlajU9+o7CgPDTNK1iYba2Oi
VBsXeDy6vJwH7C6GynHjzsO5yiCYGFX5qYMvEUhFHpAImKFrdIsfTxbUScHej0Eg6ZXKpMPT5Ii0
W2sFkTmX5zZ2nxOwsP7YGYY/q+sFmSiXnSkOTo1DyVSSfbs0z5ET1yAknKu1W1D41fl4GIr+FJcZ
HkZhnlYH6Xss7CtLFxBWmgEMsQNT1c6DCqdbr3bv3BoV0RPx01iajTcRUUYoDxVnPq5XVmU/zxHZ
LbgyXtyifrbm8cLNtcvJLh4Us7zqHYwtxHQ8Vh0uIkUjbimatgTOuwqcLtDkVz2d/biNd2i0bMSs
zSWZtS9su69xX2deYs77cUY/wUUBnATlQzVj6lTsPkyhqFMPAps2utkij6hdQsephnAcNyxMBgpt
msmKiQ3WjrhcEN1cTwUqjRij157TbJdZLVqiEWporlW+oq9nI7I+633zkA/LbnIY6hhxdZ4Fi1Hc
U6kOpTmy5dka7MekjWLaheXFStGVppPZBGwMcIJX2MuNdJFBpduM19fbbq5s+L7FadaKj2QFtOL0
+qOVdBpRJXoEMMa9yUZbvy4i+4AN8L69FgnbSSROlH3WwjGvo/BJbbaytCdh2q8ZVWo/7rvBeUks
JqtDS5Fb1OkeUXDl5WX9ObetOsh6pJkECuwKh9ANleF9vxxSukDUsdmnrjM+aGxZU6vxIW7FdUxg
yTy2dJfqCCRnKcSTYRItSuAdRdzm+6paakXrWJjalTkku86JUf8QEBUuM+WWHrMYd76JSCtz6MNp
VG7TZvrirvnUcUBD3KIp3q+tYPOLuEoore63yK1ca5PwYNmDDmA7AX7qg74ptOpufie6CFo0JbAs
QxW/BvJcJlUIu2oD1kqyab0YM7ewvOM5zO0BehjxHIwNUYf1BbsJwyzuXEC7FuSMjStxrFzrMhql
5pWbyqyIM+4Lm2h7h6p3Z2xqNEik6o745sJXyUC5WBCtRYjXjE3F1iNnczZd2xa3d2wknyXhMPKV
FVGSQEYFUfKmrrlTsk0jRyF+jhDNJaWqBs2mo7MQ1BWV9dYjsJP1bSoE2He0d45TRsfZqq9n1ACk
L08nV6+/CLmhQFDulaJsQjsH5KLMSh40m8BvMjdZY2vGQbIqe/RX2fqmb4rA7jLLjhKVYEpAst9G
XAZjGb0vm5RQX9qraBMXVqgMZxC1ADEU5uLJkxLnH/nALQMeh2sbjaJ0UZBvokXXIEmQMIMHgu2+
upuyMZ657oxN7FgDMhDU1qgpUFKNcVtdKvpsXmnIJEk4bq9Ji1C2KDdo1O4aBfOmqxwiFq+YMbcu
cMRZmztoAJknFG56n3RczaaItSNE3wQiMd848VGEMC7rbR01FpQSgzl9Oa6Q5JU7o+1wjPNKXrK2
NJObLhQIWbRjo50FdduLQ8L3talIc9hOyKzb23LjPiM0VSP1Idp0TJo+nuBE6CF9yZyyf2bPfNMg
znjJXVhEoYVNPPPlsKVcjFDL+hGiMhK9qIJhl0IKcuNE/Mtd+Dm3RaWQ/puaoGaf8Cd6qO2nfi0I
NBAJUBiAmP0HN/ZbQQA9YZsw2swQxc9SqV8KApe5JJG7OAMp5LYB5Pd6qM1mAb7hZ6UUA8N/oIfS
N2XVd1Xjt+Wsqjnb8JO34KCt/rEggOMSE/0ViZt8bWwC7626ND6NidFHN8RKGWXJslXRYfNuc/Ih
uV9ELLzcEg3HBnob4AMpfPc2Dwe3x4NtlupBnXL2JrPBdnSs37VljeEApO/woWYsosTAdtK6KMqY
VK8oO2ctWUpxRBVeSuGNDnlOzrKys3HZ6uLZiLDE5iPck3IMkw4CUWIxm6ho/TQ7fR416zY1yH4o
UDRA6KnGlakg9pNRLXFoZ/Xtio6xtuojD0CA8EVNxgz0F98lYYptzvruZt2tZZHVPrBJQsCon3W1
L64GsdY7QtyqAHVXTX5i+xX7+PuQYREpFZgAyweHtomSCgexYsRBQaTBrIvnpoqRulJNHIQkNZPK
CiFXoyWeUVNokR/R+do4XxgrIg69Wz8GJ9oN9XihudNeQxwlG6zGhgw7xils19AK4X/wu9H46Fkt
5BN6TVf12JSTfEMkDRIwbDMRtEOyt/GsPsCiqGA4NoeSxcVcZw8Fi4y+r26bTr1IWHCQGkX2mFne
jnylw7YDUee0q/a9ojk7x2pOmll+qmSC7NmOLtmxXZIEWPmC/aJ1oljtbrWZ/esbRtVYD6VRx9Ut
Tvel2ZcaO49YzdUX6I1u7Vlj/hkQB8u6boJsMXx2ZbJDNhjDY+eP02H64EiUOH1nyHIEpvRLci2q
yAmpHJdd2ydfJ4VFS+Ysr5bqPvTrfKuN2pvRNSeSa17TMXN9y5RGaMfiS6rPp0mNl7ciaXMPdhYJ
rWQIOGM3eqaKhtbsbolJO9ido1ySW/qwpHws5r0I4mPnJpoB5+P1QJNqBkNCPgN0PjfsMZQfVvur
ltWC0L/+aexJfCPFRg8KEgjz2DX2ppISKEo0a6MB1ypBASl18jkm9h2cxLLunAmVfrZAN1LkazrV
h5rbxq8ctGYkMDJflitSZfxDGulm8yQiVG/KGdXUS9erJ6shxSHTs0czSmLyG3UbqTpCYQJhySs7
FHZuIwEHaM/Tn/E6/IAWBENi5V9lQgRLKd5HycK1QKScL9k10u2LxmDWSTl3wXQKbIHB+DND4dsl
4AOyfpz27UzMGdh9DaZB8Y6T8hWuVFgW5lGV8auRG839qpA4r2w0JZwAj7aS3M/4DlR3emkTkR6b
xD2uMxEusdNcRLV8sdjtEp58rxBEkxjOjeLK20S1PhqxXpfllijCtblaC1nwWjUEJMnejSO7UcL3
0BLuuyxxQ5SUFcPt2XqTozwmejbcRQ7MeqAXO/QHFxZxDOG/7e7PsiPmB399tAUfxf9c192fSo/4
wV9PN+MnkJg0rttMBSs7B9+v7a5ARQR5GaHAfwyGv7S7Wzi8CgZEJc5MfItA+/V0E9pPhoO/Bmmu
BZoHsfs/Od1+nIqZwNI1+m0X9jBQXwFi/sezrY+GTBZrpbM2mQ9qnoL0Id1kXH6+RP5y8PJ7ptC3
8ZtLj+7S25P7TTbwjy9EInCO8CKfzqbJHQyczRGhuQ6nMiWhr9ZjQHvoEAPioG7cZbhs8+bR1jvy
MrFV+BO5umHeafkFGkQ3AKxLOPaCkFcxWaBFU/cyyabxSyfhIb8phhJZ3De8oK83xRn8PLeETVga
fB1yZ8iRJIyj3NQozkVbzj4LPxSGRDYGwAhQ2eTVLrLGnS7MPhjYFgQSxlBji2fFsUkgGVyPj/lC
GEyN/d+8p56+U8r5WlFI1khhOagTG3jy5I+dO15PURmHpas9cpsXSKDHMdC3h8gw9rcEVe4mMTy7
Tvehx/ZbXC6v3dZV5oPNCbWkZ7OLLohYSXfYVA+WG3V7mXR8Q133WFvxIXUQuRZJcoFC7ROZb/lu
LNUmsEbsjEU9N4EybLIX6vqd1q9vGhwRfxXZjXC6nbPAvCTiK2it/G2wtUfEsVf1XA4eBKI7ux32
JthCGkkFbRXpwZMwIPgQAM6QzrxXlqZAGosr33bf3J6GzpgD6KGtJweRe1wQZAIZaK8lKUj28NVZ
aK1Vy7xSRrgA2K6otSk0NHu51iciTBcqmwkM6S7XijOJodnOMHDCl+KK4JKYFDexd0d+t8mEEl2x
zJGUOvetQj2FCO4OzucSGKt8IlZp9WPSIz2jL+7lNBw1Mx8h76if1QLiQDwtT0WamvvZWG/0GU+M
TLKRoMvui1boX3RCqPx81g51gUAUNzHVxLRHA3dbIoWd7dq6tA2gI1ZRfV6z5iWxZeKXVv3AOZ4F
orXzwzSQt2RPvm5EOyQu5FhyieHTEcjCNUS67xWZVd1udRRSr0wLaJWmzoR+eYvekZwqJgiMqj3t
NGfa9CzdfALGhUlkgbEZ0UYJ4wvi52Nqartxpav2UJCPT7lpbKobFMSrZ6bb8TxrKQlsMIBoCzUE
bP02M3Dad6rROy1XPhjM517LCVNzNaKzGh/mWPaYgqYA4TnkkdJEMTaNl05HcbftKsw0R+ICtGWj
Zk+vVmZLtOnNVZyqEWkEMxXwFhwrLwFgBmMvD9PUv5CLTsfnZv6YqeTr1ui1uWWNKgcYY14UinJc
CwRyMF2TcJ0XpIzk2ljTUnrZlBnePGh3JDmzGus/cupUfx5QHVnNy9SFOPeOieiI9AVGYdnvc6a+
reaS+3ZBjOtSvBXifpwk+q/h1NTQDBXqJNbJOhQV5H2C6EDy2ydDHEaWl1BsqbfWZtwbNrgNVWP9
H4/irRKIjud6CiKlQ+09NftBq26WenrtatTJ6SKe+l51rhqF5PAH8u792BFddKi/rR2/O2DOP0+q
v6eu/M5cuT1FOS4EhRyzUTqm30shpJSGIJ5nOU+Lb3tiH53m+/rqmJGM9l49N2F+ZP/kRRfUUkOQ
7Y3/Mq7/4/ycl3dtzh3koCbapx8f4jC+zFGxhvU82u9NdHTV3nPnN6Uuvb//nH/2OvpmgdmSFgTN
3Y+v4/acWSkBvmctvUxm2BPFhxsfAaH/l9f58fT7+dfJ75MzUIMfyJbzx9dpGViZgwZywjIvOgtj
NyOM/7Z3Ej8aYv/zIt99mN+9yJCoqtSxfJ/HnXzCDhiOB/WLEzj4La9KrjHvrgvRsO70w+O1ExTe
9XiV7p5kGIW32WnyDl3QXfYBfzGod/w3fPr737X+x22PrgsdbIUB8I/p++/eXzGsK02Jqp0R+l5H
t6A/rrTn+KQzB/OHYPFOr9p+9q/b3XQwTb+8oE27RQG5w6bvf3sr/+5Ntgv4rwvJsPifoO4wfv/J
3oQf/KWQ1NyfNlK7CpGdkxMd1HeFpPaTxlcIqEK38F1ve63fxiTUkILKUye4m0KTP/pFw+78xPNE
QObGysvI/Z/tTfCfc7P8tlzb9ib8OzyZVIGTlkCK311HbRyBMNRGjN+ifpo25+eIBVSh9PXsTHZn
Zd38oRyWL6bAVuPix/F6my2pU6Ihl8pYndYY7Xm+8owGjf3MgNQOOjpbv9F0GLQCuXa5hdlTFCEK
EkONb8gFUbQ5WjOsrcPmcTVmJ6EhtB9dxBucKtXOWrE021hjuVfjQ4dZtk/n52iiORuz5h53BpZj
JXUP/8veeWxXbmTb9lfeD0ADLmC6xxt6m2QHg2SS8N4EAl//ZvDelHRVpYb66lTVKIkpZfIQ2Hvt
teayzPiDeqyH2THPeJGvapPcBsqBRdA7s3aQCslqEdUtqEdUOrtLlOqMtv4SDfZp8Jr+nBDzNSEl
73DuYL6R2De8Wbx7XU4Fhc4Hd7NQcG3nT6/2Pv0gzDZYlEHCEysOZ+cHDTzViUrQeuUQPban5DbR
WWT+NT/CCuy2wM3qTP7aSKiFeppZmLc8R/e5BTVCgIjAcQodDmdmhA68iPLTK6ztrHESddHsXQAT
fifvpJfHB1OzJ8pJACSX2Dey1PC2ozFf+4l0VinQihR4xaQpFuQUyZBZAcBfzbjIgF3AcTw63vBa
agpG68DDGAFjLJqQEZjqKSgwRN/MPQUXDZVx+Gl5JYYXidF8AWwUxFOnbNtno4sehU8DTPC8L1Ou
V21KcU/TquTWye1HvKXkhBXCkx0kqyXOnZfF9HWtUxiOD6NXxFeoNs1pwdRBIbqRH3AubGVm3lmo
9gwZAVcIzjer3Eyf9FkHm/QYrBwwcBsnpse08Zp5I2r6lg2jvgGOF608IleEIh98g4S+zEjXjyxG
hXdyx4o/YgUXPZufG5H+9J3yIjIyAsJW2xI2INnjG+ObC8EPqcB5ocrylfEahErs71Xo1hAKsoNt
chTy634DexRsJMW3rY5/wZ2cM5+Ef37hRf6lNRpsK0rdAwb7MnVl5jQG3soTCsdxHgPzN7IPyzN+
QHHlnjXfFclwoSbjgVvh68DrkiUhXLWjcW7n7sp0ose5ys5K0pzQRvZTXKL6JF30EM3+ecj4E2rs
2N05DXNrHoRXle2+RL585Ei7rIqYLr7ZYKT2U/O9d8M72WVXcdMR6tRsBH+6lpZ75yh+L2WU3na9
daTqZg3V7RRDJRg9eW4M8R6r4UmvK3ElSFOI6yRdDk5HnS/MpFXeqx9iDII9ndglSTB0PB5z4GJa
gzSKtnxHM7TAKe1+dH15csLpMnfsY2IuT2NFPGGiQhtWmTw2nUjXfGAJahjFHWmG98YpsT7nBZ0J
HlzaIcPeRlHsNhrqfmsnpGcwjB0Wl7NiRuX2sfKb9dyTW7cxpOknLk8pi9YAd7qpRzYQux3M3Uid
aWyS2LeQzUz+CHgm3TrKu8zG8EN4aJmN7z3annvpuC1A/xH3/aSaBB8gj7gOHP8Um/d2WFHol3DY
00nbnuhMaIniUHINs4qB6ybZQ4ox5+dxie8t0333S5RLwJ2XWPGifRwbxo79/c7yCcC0MVFLZfvv
Nn2aW6sqQNt4zVY5xrIqU9vVGuEux+HdDUt0n7X0+qWd9VClE9lUhOKPJjGuvHqatjS7wM9Jn2Uy
gRxPDqUIvhZG4O3AwZfohEmUpQWenfYCvC57c/lckhGKLxc7hhHvTfUWT/FZBN1DqIPonY6kL0v9
Wi9pyKF1cojxLT+iiUi6P/U0nhvtehm7GzctrhKy7g6Z95nsu6VD8E7VnYrFpjfBpRt2ELdk3i8x
MfYrT0foM7L0AZl6EwcvYRti9kJynubY9+CQwE8j81SQyM90ND/3Ah0bWH6EOrXfqqdSyNtGZjd8
HvhDIN9fkvNfBCemQYdwJrOisJEz8xzS8wgdwPL6kwktwDXnx8qGMeyKGw+aQBO61Srgf8waNOAX
HmuZhg+EHkVBqQYSVCbQAp6xG5k2hwpmQafhBT4UgzjzIBFpsIHQiAM4B8AOmuy4aPyBkctj9Q1E
0GgEglr2kXhFugk1OKHWCIXcBG5JdY+lIZRIx2iY/05l3/KeDrb//VR2/1b9v036Gf+XqUx/4e9T
mfebGVhIdYxf3y74P6YyUOKC2xR8TBF+T2x/TGVogvztnLug8nCAJj74+1Rm/yYY05iKTPYRjPf/
yM2ClPiXqYxpEf0pcBxGMlxv+u72ZzdLmmUJd4rBuSR/SNiV+NEQE87wRK6lN9nwnJ0WH/3fNRub
qmsuJvdjHVGgUcUXkCJ8MPbV2hlIBpvta+YXlnUjrZ4dPuN5htozVeF1WQ/LKXbGIj22g7IfsOsY
4mj1ZmfwqjaG6zJyIg62HogWkn2ZdZ/6YeGel3gpeiab2JOXncOj+5YM1X7yquIzAr61qauUcoLR
DcZsb2YEocM2SKe7oVXD0SXawoyzJKQKI1ONr4sLeRtXTWKe7TGMzl3bcvuoUMW2yRy2667thu1o
qvQsBuVeRBHhSDDgUfg29lUScnyP5LKHrrSs8yoZb1C53oB/vlJO/JGRRdyi1JbrxhOfzcBgBb2a
C3nZuj+x3RJsoYq5jflhXUyxG3JjfJUe5MzJNsnV4BC1iNCDLh140jxbmMc3IXeqjzmlN7t3Kt5k
+KYvDMKPh9zq/Cvkt/m4NE27B8VQc9viHF/m1ax9sIhJHTTokK4EvrmofUOw7mUfbYKhPAcjOU0R
df6lEmI55i4OG4jpVM2Gyd7XBLku1qUcKsjWdc/j1Wf0aILwM3ATYx9My4Gg3rWTpd5eRZLBqNc7
aoQJvnfnH27ighaGpoR1Tuxriwf4iD47cL3CmzsPa5ii6KkFpLiOfsNtBr/2GgJCfm9I4dxBZ68+
M9PtTmWbVs84T7s1hNqfFfPg/wAl/90lTfaqv39q7UiSVf/lkaW/6vdHFmBD+ggCrgh/rTiALRZy
YWJX/JXb+X2R5GEWCE7qYKk1meTPBDFBDSHOO1/4Ni5bfeL4B/d2ICh/eWQhKwMIIlrk0w9Mvvov
ruC85BM4D5F/xb3xFA/tVF0O0lbeOiunpqnh0o7Lnhaffl0mZTw/URgNsbAOK900kiUvs9Pfl0mr
NkkPoFcO476V8Qb1ED3VBB9fW4WHUz17J5uQMl6IdKsMkgPVIq6Ig9N0VBgvIJPvCD8/y7G28tuB
9PE9wdRDKGe4YxEZOOaP2EyNK0q7ArmiR4SgrRG/KIpEbiKYBd5NUtCYJKoAidjlJg3SAbtevRFR
aVYPnm/Qssp0Jbc9/QTDdWv0CfAI1ocJZpZ8zu0wIeqd14c0yTLF4tBdysw9yVHcidilecmvnsyl
eBhd8ot10nzY2v/nJeN7SWnMuoN17VrOe1Jly6ozXOpvbCx989OIU3/tsMYak7ExSgaXWNve3KYB
Z6AkZpzKd3UmRPcTBajbOUYkcZ8HkqKWhnO+kf6k6uKhHN1P0wXN3pf8oYhguPUdYCYxtrOD5Ndf
gT/JX5UTM93L9GAuKMutPhCURfDQFpa9q6uccmuH4Mqc2YcE5mM1Td2mlCmJHLzookx8Iqb+Ahcr
r7Y2xUOMO+rkNPZtZI/lenESTIGufahz5HE7oJcgVLN9VJPFaWM0f5qUOgVjTwNwJCIsZf2+rMK3
OKnPXuifewenQRqQY3WW8J5aF8IhSb+bI+OnCJddYc5HwJJXcUfilyT7pukW71BW0C/6qPkaavRk
L6WsajTKD5mEQIRV9YOP9MBJePIPnhYs+Hjd4mkbVgDlrwaRGWy70U0RcvyJoWDRU3UXNXTJj+wB
MHQ66pXE1K/5vG0SbPiAcGjSiofTwHdw6McdRTdUGgmcpJ7Z1tulco/lpK7nVjxb/XAF3eYhG+p8
nZr9UxkndwkNapjVxr0Ve8aRUdNZTUl3p/zogSju7dIS95AW7yOaKONVmEKUtrroZoyWgyoi4+jM
xkfXGsnGdJt8rwSj9WKFBS5YKsJi0e9pKXGJfKnlVDf+daZqtasDokrNWDlrsPUD0XF5gSvzJ62Z
p5QyY8wt6aWXNVSfgUynZ9Lam2FRQA1twV66pJes7A2mjdypcLiGXfNjMhJzzY/6tMpUiUl8dL5K
xSswb+q7cWnWw+hj86AH0/dnQPYVHPchnx5tuVQHw+XTSauBXPVF+gkyZmGk938IKe5tLi/HqSYd
UXT2EXHL2Th0EyQTUX7P5bRllq67k212ncYewZn8riymqzjhsy0THyZhRjtgGd5Q9t7uvAIVRDaS
e1o3674t7wFG0oRN0vyKbPfVdIoP0xHHVjpsJzGMosiwP93eeOphdK/Lsnwq5WBv7XC8V4oChdQr
X2rlnoVRgxvSNggaTn139m6dLGh8/DbkTFTSvjuSeJktAHFq5N8o2kvPmIftkqMJTct759gvLVPq
ITRxUzShf7OMEySbIcGe2RHFx6dNuxmVCFDD+qPpD/dJNZCoa8zioMya+KJPUTyQhdfGc++HknFD
JgFu0TGSm472EZjZTQVEzryacIxuuUV9TosKN5VgH87saTPRVHbI84rYj+GSJxtbzCwmOhOJ+w8O
giXBNiisZiTFVTqLdDX17cyh1k42jt3eyYq1SwX4hK1l2uYpkCGHBNYQE45JBSV0Kksa8mDyqMro
tazAeZcGAxvzd7yaHT6tTZd9eH6FdhRly1ZUdCi4jjp4Vdce68bd5ZiKN4nvFbsgQK7iebjsq6x9
7Ug6VYSxYhnta4SG28RIaYirU1plemmuOHyGu9moMPLAvLz1KpsWs9Y6trFzkREV2w1lFuxR92A5
Qv9YR5NSp2QcdS8ANYFkEk92QwujwAOKdSOuDklVLY+LLPneSGXsBJ7vlYEksYqB+oPSmo5OiZXJ
sgKcM2I6x0V4isLlbKRLuQksVJkox6dc6gneJ2jkexfQl7jLjTisUS1umjF5qGzOpWSbil3jsD2O
idGtM2f48Fp6EeDAB/s5YKxTFqsC6D6o4EVyM6S4BKLF3OR1Ou2bZjnjgLsA/rjBxXMzdfhKnKw1
MYMhEqZ+dxWK7CPAFF/0EWOiHyKueYaAnCkg7QVqG3kxxzLCbyvTlE/WmL/VuXFTdOl9DpgJnr7p
bbPOohPLbT4LDEYx+CTwXy72uNTll4T1sJGF+dKkaEbTSBlBOGLYtsxpI9suotsih9WE3S6bs/ip
TQqAjdGLhwS0svnR9YvyCzjGi3DorkuGq+b7hjuUH5Gww60VclANy+KJNAwOhZQLrW0Yt4vZmBvC
VNSUiQj8SX4uOiYRl3eqMCYeYJb1OQc9WfjoIqClbw+j/4QvLNRctBVF28+l6q7o6cQGr0qm8cxd
8w09tb11FkX502iCLzkjennovlVrHKI++8SysOvHetj3frPtG/4qTWNPZmZeLPG5hIPfjTSY9flb
OGbvSc/Dl4JPKAL+EbyJ/tQEMenE7gQNCb0p59tToi9mCNbzwuc5JTW240j06ZgACjFv3KdZzN/M
A3wqye13VJC6sH5JBkDhYnJ7ZQI7pjMNzkw6XNq90yLqcj028N3aYBWF8tly+MWbuV7JKDvnaO17
pxw+XJIOsR/hKcNLbPolfurqyXJ44bEE7kVilVQrOVfcwx87Sale08MiNpr2pknDC4qc8X7g8x8N
zHJ+JghAu+UeRgJqmp1tPUuWKzQR7McQo3eAXVCsF2wJxDDuy6nltxZUOCSZO2k+SrdG5ejpoTv6
TnKSKvtKLJHuYhlcKyvb18u+D8GtBvtOVRtrvqB14yEpJowqrluuUQT2WTaBWPUZZJzl3QnkzpPx
e+ClF649YnCLzIRvVvsG+orYrC1pxmvMqTvz4/MQK44B7IJPVkO9o0fEuqd99eDExcGGJjMN+SYK
nOa28roSFmeVehjAXWEZzwn1LFQk2VXfnXAqSJohUzkF064uJkPdKr47lSlSY+NG3LzjxZdUK4X5
qQaEuppzQp0oZfsljJEha2Nn+Bk+1dyQu9StN26Zj5toqn/Aa1i2VTC1qJaxtaXZ69Hpqnvpetgv
HXgeWffsprRvlwxeRpQOu1CEx8R332jfvpnTEHudjykzSQGRMXdRO5vTkyLkZK0M5FxeJ4RYc5MX
G3ulx/dPf++YzccQf2SYXLQdNO+icTfz4F9NQ3odjv4FGka4qvrszQoVTXruhbUoppu6eefdAkOI
Xsq8CsgJp+5pGM1Pav6q/ZKZJEqm4OBO4w2ZG6rEE4yIrBIr5hq5gR/3s5PlwaErm2RDveza3rtw
2+LOzqct3V7TWpS1PPDcvQgl5g5FEBMnYX8gIgtt1OYfCM12zardr3qKELuedDQkn31jM+2GVv6a
t+naTa7zJucJoFZydo6ig1sTBtOV0VcthxU0EpH9hIbEtm0RMlLUCMTmFc0bu6Karlz72uPAYCzt
puuM+DSZ9XMu4+OQpC+DPzw2YY25YTG3QbefPf8eL8eaufdKtfZr2lAL3lOz45TxkZjqcqRNEXBc
9phoQdJnFtwmQ5OeeSq8umU9PZcL/V11m51nalE3/ZTVa1UuxPLoWCUy+qOZTNwW+a2U1VveBASX
euQJFb4Uor5IneS5lFxu/pUhv2VIfSj9+4X+8u0nkbr/vAzrr/p9oQ/BftsOdiRb4M5AMvzDYmhS
ioB1HkaH87/gs1+XYf835Eea7REbA66Jmkn26zLs/YbHA2s9pDTHogDwHxnoXU97+/7vZRjUI/Ej
PCOkVoO/0s3ANqreHqz4OgrLna/fegO4M/CN3RUureeGF2MzD+Fm4VXp63dmVcaUFo0HHDCfrn6r
ylDQCSP7de0X57lmlFjCDHrEZG4sXsq6qWY16Pd0wAubyyZApDQMt27afFhjk22GYLwaQHVO1vSC
Dx6rcr4Veg5I4+TVC4uNQW3aU4ddn0xbfo5LGa39CJMZ/9r1bmS0qPWMEVv2C4sa1jU9f/Ac7De4
r90dasUXTqNPpxD85Ou5JaD9eE2/3H2dJ7fMdW8LIw58RYZfPfXUgi67nEFI6Ilo5MnDYM4Zuvfr
94CxKWF8KnGHrjqAmZtRz1Z9Y92QY9pkBS49hq9MT2FZh8+uZzATWXZjVs68ovN5wDvO9FboOY4U
wsQ0LT8YI3q6IMYUzllQ7JZEqE1hZg8TIyFvc97i5oCaSwroAvbFfc8AWZYWgG/Z7bKCpcxgyEwY
NpNhPjc1+5gvEzApDKSxRTQrrplRPT2t1qPgtZL2wQZdZnlEwQAMVYuR242frWM98wa2l+24wfyk
9F2dYhhtvOJMyrf1tOxA59zSHnzh6UHapRdYkTC6VXrKJiMW7lRsMnkXZQiMiOml0nN57RlEzMjb
pz71Xe2rMhve3zGArqJJqOWLfd4TDPq+nvhdxnBm/4gNogUVofcCGsE+hjBhEdE7Q6G3h0LvEZi8
XwsWCw/K2SUoCF47eutAatlleg8xWUjSyIKWpHcUm2WFyrtk49vTvMn0JhOMvrgy9XbTAXxcx+Py
QYWDw2SDjXTU21Cm96JRb0ip3pUWFVxiTkW3mL1PKAsgFkLrqpLQ7ZyBjzJtdvMmnsDoNjGNnJbh
3dO8+zrpHS3l9kywwi8OQz8DpIglPk12uojlztdbniwjKOBxRX293gFblsFIb4WtW7gHHH8vYWa/
0/O29/UGac/9pVEa7B5GAHGCNXNh3eSUjflM+i3n6j70bk21DO5Jx7j0lioQhOZOkbaULNvJ8xzz
M2/nAfDAcTSZluadcgbnxpflCxXmPWMOnLao59rZCvU0x1p/w9G7nVOCZpIJrK4xSuZ5/RzUo9zL
wgEYDvkv6mj6oP/ZQ+hnTIETnnFzqx6WOrpGsLkY57DfgAj8Sof23nbICtrBeQqQPIbszNlgb1MZ
mBjJpZkRK6gV4D23GFFTOvfOBHSGDNJOu3a2zoGDrkQN3hE8ir2ldfQFFs2hl+7ZNMwvb/B3fQ7c
pkY1q2mfPsFRfbOpEFm1liYRz0RtCGp6p3QZdsEcz6iHmT8Mz1XcTjXJD+z9MGW6+t7B4fZEiZ+k
k9FmVvDMfupA2gXiNc5rcRr6pohvuMfHwXFoDfc1iklCXmYYM/dlmGNWDqNni07GrZhhLloR8L6I
z8vBJSuML2JBtuFztxUNaUY+hS+jOx6WvLR1RumQeCDxfO22kGmMIFBHt8GyXM8VcR6i+At16uVN
4cX542jxhCublMdTXtjbMc6+4s6/7TyCCOj8O5X2DQloYF5+49/RbvmzVNNTKxit+CmGadc9LeGY
rFpzuQnd9DzmSqybxnyzZp7jdYXQiPpqSatYD0PUH9rCSPmsRdcqN+21GnBmGkT5iQNLKz9Werzm
hvLm1xPoQT16+8zgaZ6928zkdTa/z8zoFRFqskViH+nxnSZSbkVM9OZMdqemheIQCBoWiEaRpDCm
4DrWy8DEVuCxHYBAoEqQdcFnb7CoqgL7wypR6KXCLyU2DdaMRC8cnV49Kr2EIOJgYqVmfNALimJT
cSbTWpeyBqLMFpNmWNmLzr/Qddm1XnRavfKEYD/axCY3zDIkYiSArmM9Yk/KvfqmZm8ii1atadV5
zoLpI9OrlZyLs9TL1jQP5wiokWALY6K7Vnots9nPGr2ojVmzS0OTTTFAjmKVY9+LabmurdXInlc5
qbPGYcKZudhYbIF+mDvwv91Pb6L2W+pV0QmGc6aXx1KvkZWadx17pasXzDGldiFl54SxxfOZYAyp
ckps03u4dm8tG6rd8v8N6mJiec0dvtVmgGqu91qfBbe04s8sDA+Cxbc2+KsRq/AwMRSzGpd2sv93
nvyeJzVF5e/nyX3xWVX/OU7qL/o1TtrWb4GAywAmhcjl96Xn98SKTV0WEyNpSCFsbst/nLRxJ5rw
0353Gv7ppB2SWNGke/7DMr+xDv/gPmR5fz1pM9CilXn8mgyv7jcl4s8n7Ur1vj2PQXhtlx2URWEt
zb77ztg5Bh2YW5GUffSKc6e7db4TeaUO5y2k9LwsvOiqMEd+yN9z7DZ6IJvsId4p18VfQfPcrPOI
y7GanXY7TuEtZ48vPr8pTCa6QEYbLpNNwCBF+273JjDFAKgiNYQHIy3eRQfF08/qiziTt7nmMHpD
R6Wvd/BN2pI4n4AblWtYngauELUnmXNlo6ilNsQbqTmP3KcPSpMfK8N6z0BBgtimjzDwfzRAIpdO
frBfX5KQLITGkXovIbn3QbMlsb59UtG9yTV1MgvhT5ILa69pF9xhjOc6PVmHFljlpKmVUvMrc8fo
iJTCtORhwO+2Mpgl6+WZC9RloCmYMoOH2Wkyps2JKXHhzsK733Wanml10MEygJoBYE2cmvDxNGvT
ArpZAt8cswwVub6eNZXTKCOxKzWpEzLxUWp2Z5gCgrSYODam1PghzfhsNO2TW0q5BslMiEDdliI/
9gAlVuTYfqpyCnhiQA3t6giLIQ9hJ1ZvZGwpSrGsr8EG6g5yVPKEyTSDNNI00umbSyohlNaaVao0
tXQGX7qAMS2NSv7g+3kexOtSepcufWgE46HDZCfqT+6l5qF2RHX7DVb8lvu8TQ3ztkp10WVTFHVC
fH3Iw/ZqjoV/LPrARUGYkn0aBAQziO+GlzghkpOf19OeVpr6yJ9LY25dkxIbysHC+wgSaLgulDVj
BKw5L01CuXucEG6xKUZ45JbSBDbGVlp0qTlnCAJKTqGQ+ePfx+H349DhvPz3j8P7t4/urfyshv9y
M9df+adnogmlikZ22+cijVf6jxWbxyXuao7f//NX+KpfKzatWw7GaviV/Be6KTv7rxU7AIKjM+XU
DjqhfqL+k5u57f7HM9H3WbH5txOmSyTwryZ+KH9Vv9SzvJ4LzgzumDY7Z0qyrQbelf487HojR3Di
cDi9yKw8N+SJ9x7Be2wvGFQihXeNQ7Z1F8felgaIEjmnIjTLhftsDsubiOyFpvfhU3ptv/WzXP8A
RPfOaHiXFCQnCGzQ1Bpuv1cwuLZZnDwNnLYlyiUjR3CCQX1yO+srn9WTTEruWPl1W3RwVuxDyIF7
FWYlRpWS3tessOjZUjSVz6bbr2M9KfIW+Mx891F6xms+GZ9ygrSvpYL1LBWDYF3+bEsm7tw0CDpN
I8M7OWuZU7sxhd67StxcZ/usdeFT+zeNtEOPqn5KyvrW9uKtVyO7+QpSZjsOE6y1/RgTazqSK75D
DLzkNfK5AKlT1Y1nNRJBOb8CPbKDF/hcMgJGdvSRVOJhIn8MN/pLxYT/08K+DTqlWAHR5aa4f6yN
wV6pcSB/XCQFqkHB5hViku88BGpOghuomu6hD0wcowVgRrMa/dVSsx+UKXbzPsrCrTFolDtlTzlR
q1VpOPtxNLI7QXxtM9s4xzMF/c9KES9EbTiXAPrSlV9LID+ch060loBPnfEDGbW5H+f+SM4o3XTO
ADNcFwON3x1B1bef09bWzqzXLs/i2/FZgOmYHQ92wJzSW4YvFFboYcYnmgw6llj2g385REMfvnZi
SX+WRU2oM7SomkhdK9qJHsqbb4IJ6tkA1rGtql3jSoIwi50+0svx1OHNR4oNX3MI6jxMGWKlm9kb
oxm5UajgIaywnpeCZ2Q07gtuWAce/o/GCP185KS4naOl2k+yiu/ArLQAC+3qutfnF5M/S4dX25yo
mtLglGyi69drTAXzTaXwAgejbEBuTu89Cs7Zz+0J723yCZhg5tCgTLg01pUR1BFNNjTllgYHCD8c
xkM3Rt3B7rzivvXa4nqq/eoht9VATDuFwedSwxQMAAY8/GojRq4YFN/sVRgH8I9zeBupqKjVtRzo
YjScDnE8r8OtSG36Jj2IAyqNvNOg0FyjZt0mlE4pF7ImnEGsAUgCsYv4bc+ucTSMUL7mmZQcPtpo
kwZDReS+zj9yRwClGmULbDI45TKBK00JybYbwoXaZ1pEuGCG3a10rOgiiZ3gMpgUIHyfrGthsO9T
u7bBf9PtZjOYNwPnh0sjWGoE7xyIhJiX7b/vo+/3kc2j++/fR5f1f3Nv6a/59SbCVapxZxRP2L+S
4b+mcxJCHo5RkzuQhzVf68B/ehNRSMz7ASnYd7CW/vEm8sE488LAdPU/2LV/ZDglzf0fYi/FlBCU
oT+z57Ej/F/Dab9w8BzF6F3FTrVctLhfm35VQ6Z3oR3F07KslmhkYzdsj4NsgM+rvlRmiSwxMhID
YBJmcRmMqQmgy475Z3C6NJXhbiMDrGm4JYHM7dRZQN/PtNBkY4xHC5Fqs5gx9OFV7hthA8qkI6wT
TgRsbzGxsrgnBrh3X8DrHOfqmYE7XWOdPQwVYPdel8G2Ol6MqPTdsdvvotF8yOiO7Sqv2NYlHYbK
vKt0vaxlzRTN0jjb1OW5aqMLiyZa1TdgyXQ5bdNwk2yO0FvoiYob/N+6yDb3sTcVs48WpGtu8dfE
PEQZtmnA5WBNDUDsYFmiHLfRNblm6DcbXAAn3mM/7Zkq3XScfgy6XNeKi3OZmmID5fOm1wW80puI
CehSXlyzA9n2Zd7kg1dA+6K8V4lOwMC3tyZ9k5tMV/xKun4NdyZ+C+dk1GmqMrJ+zjwp1qPoQdi3
h1RXBgPOvcgC5nZ47E+j4HWbtfKiH3PKhnXt8FI795QH7FqfQmJGWbAviPtRFzVHN2FEmN36KrPr
u7aV68hvzmDe1gn0Shg2sKrpd1Rj8e4qvDldMm0GjDFTkW/IAxvrqYlP0KK2XUPuBdsBx9thzlZk
kXOS6z4KszNclgYUXJId2QUiJA6n+HkERbfm6Ym2oZx0Y3jxzexjcXDDYW21w2kC+ITu1D3HNcRJ
mkrPSln3A7wxby6wFxH9zqvsLq6mi1TgbPBTLvG0OqGjqYI+SSM6dHmUrM05vDFF7W+D1vmsC6s/
WE3dw1eur4RVDfsEwGvl5I++8J40n69u2msjgVGApkKiqiAQTUgKZb18whiyUUxQo+m8mM1Yb7hs
8wIr7udcHNEICadFCVTwIBFr1WcoxKadnJumszZOCAUokfK58mF6ZfYAwA8nhds/uH3OuaLDxZJA
pOsFAFviIGJACouokoIfCgY8p5M5tzY1cLyNM4z3eGNy6hctkgUqPsa9G7Mxcm73gDIH8WsrwL/M
KQCyMEtbujaJx7vm+DilHCqs3MWv7SUnklQn0w/faLWiRCsGC2fX1j3D1y7t3AcO+nvDqW+kmcrV
nDr3LgejTQA/fYXTDG+Ve5n6jbF28nQ3p8Vz6vrVvrLUWxkv8yFXMUdXvMhAVbB2Gzn9MIwYO1Jg
L1mF2QrIALiDGa5DCOmOwcPcw3DrLlIqOEuJChjZhbuFEYrriZN30atry3I/O0Ckq7prrxrff6zb
KDl1Jc0pnjV/EkW6y7h0rzy4EvhgsHb1i/qSE24cOJHVJoptF+uhH2hUhbXnWFCvo2K896Kcj47p
0App0dBQNyn0NlWLNULDIY/nNy8Zqu3g6YI3L7zUti3LcD/zYXY29UwdGl1VfKBQl2mV/+pQm/EL
HtRSv1TfMjR6NH5LrB4o1KaWqoPZ4F41encujKVjPFAbvmhp27KzSwutW6F5A1E7Qxa5zcBKlEV2
TIb2PkpoJNFiOaeeC4V67hnNQ6PldEdxoze1xB5qsb3Tsjt9LqAnEeIzFPlKS/O+Funx+KyElu2l
FvDTST6FWtIfa3wok5b5WZox5iL8z1wAcn0KKAOHtrrZ5jrDncCWn1KfDXx9QKiwvSXY32btg7Mw
xBXaGYcv4anTXjkH05ztis9Eu+hUjtq4YKwz+/ojxGi3YLibLD4MDRa8RnvxJD7YjdD+PEs79drS
v5k4AMYOyU4jxs1XYOsT2Pv4rW7kmFyDnXB3QjsAY+0FXDiK+bzcNwmJnFH7BccomI+uthA2ERCI
cNl3mAtLCV4o0n5DSzsPEUUeHe1F9LQrUc7dFP5vgP1fl7vFDfnvp6Rj2Xx26Vvxnzqm/rrfJyWq
KzQmgczct1bJEPX7pOT9xo3C8pEQv5mxfNWvSYkqDMIyZHqAwMLt8RBGf+3slHOSlg7IedBHwfX0
H/nc8c3/ZVJi93eFTVO3YPSCt6x3+j+BZrkoddVstOpydvBe7xikA/+y8XnOfJnLUgmg/nQa12iG
+GSXQ+3lep+N5gyCoefmd5GNeyUgkscGNPlq5fx/9s6ku20kjbK/CHkQmNFLzhRFUdRsbXAkWcY8
DwHg1/cNue2SszLrtPfeVaVNm6aIiG947z7HeAt1pDbsx1+A5dymQZpfTynAlHp2jI1p01jD6GmP
peN8iyoPtntukPBZkBeFKJEHu4X/2Tnw0tB92ZczCpK9VmQshqFhFNNydNCyJ0nYXFXg/OCW+5co
itMDNrdi1VZy2jS2Xy06UiFpGEmlhHuDRho9/5U1TBepHV96ZcfRE2fpJtV8tC6Mab0F+2ASr4gN
34w+21Ozg0BakyawFCllUD3CXq+9Hi6KpX3J6CArZywu3Ki/E06kg9VHuYRCqmJWMGlXTeK8yYJu
vS5dsS3t5NucJM/IoLBYWoPI9zIA2lZZyXSP+i9ArhsdQxht+z5K3rtwNr4YJCafZ7T6m8HJmDO0
Gd5Q5nBQ0PzCP+A1FWtH6tqFVY36pR1z38e4hbhve+eycd2zB4n0luJpL6PpTqvQOpRWYW11rzy7
DhcHHB+oa7rlEIRAXsicokizdMm0d0q1SxH1nINTE9lfqIKQoOtmeuiCSXRb0qgmxoFzw9blFPGz
G7BTxcdJkA7BUcbGr8Z7rEtCQZXtCl9PjQ7/w41VKWOWZiiPFnlm80WjjFvxh4ernD2kYj4fQnDy
UY2h2kp9zlA/vTQQ0Iswn2+toRHj6k+P99Hjif85c9wzTfiHk+vTtFHYxADDesCz96Nb+3lyMVP0
dR1LH6XDR/Dgz5NLNXIsbGiJTPyDrEb+c3LZYDRJtvEYDX54Cn+LGSacX5Em6E5wLZrqPQArNsGG
0E1+PrnMKKtEOLjdVZ465NSWWbway5zUkvNkDDOiyNiPgtlZWwh0IiyqQyrXtugMgWWVkY9cWlNs
ZgfMfPXErtezERIyfVGNihidmqQrO4vMLcwuvEALy8piQHhakAzMgQK/LLjjnd66dvveb4qVS74X
Kde2LdsRPUSdtC/uDK15xooM4hmx5Perl8S1Zpu0lX+Maj3ah4QiLli5Wvd1CX/Sw+9bc7nbCytN
CLGp5XAgS33aoPUortws7W9gD8pXvbDtCiJDFL5iXxupIfVc1ZcloSllcJVotrXBnR9h/xBY5zxp
TmfhGsEeAa88poUrr0QydCuapG+lxByENNRoXojfQp/ToRxdRuiP95GddHeGrFGaMll88+bM3w5R
JsmagXiGkXqLSMW88WadzHDlscl6EphRgLNXsbsO44ajT1cN4AqqraTdWJVA8EhqrZAE/cAvnYdu
Vwc6dmFRgTjz/ch4NueKHNWZsnGRGr3xmlqtfejrNtxPLEGemCGZwHUNdOAVERmzl/envk/f+EiL
PZ2+uBVtrGfLBLTd0ZKI5G23jK4mMJurcLLjKztu261P3t06mX3vaq4ZhOU1HZs/wSaNWOe8ITDN
LnFwtw99Tthz6ycFbJDYOJqmyDC9RG2KLSSgrB1r50z0jLbh7Guv2V1XKzSf5YHh3XBo2/SC8TDd
r6d5G5Ql4zdpRdnOq/LwYixji/eWuNqRyZqOEbYF5VZOeFC6jiO8nrxiW4X4UkjjnRmaN2QFzIYf
XGSN5jzgPX8EDWJcGppXnXj7wUZLAZW1pYE8vWn0E6U22C6YlvswRibA3Dch2KWabqLGkyvkWHS+
cT+uGYcEmxZ+SfjnZP1OG1YzrX+vC7/0ry//fbKq1/yoCdltw6hRuEMORCZibGR+nKz8ksNDYQJC
wuXjuJ/2OMzVTJ8ND/MsfoursFs/akJPGSbhJvFLyvn4e3scgtP+VhPyd3CsOxbZ8GofIXjrn0/W
rKPkG8tRP3UJImy/sLcEdGsHEiCZZjG/P9vwYHY9XDlE8kHL2RuLZYcxSMXDLGQx1gu+2/Zl08z9
wvKgArfSYZpAC+WN1bGZNbwBurXovDegcJg1coTNJCivZkfu/cADTY+/oYrJnW6DbIGqmjQijkhZ
NDuLGOm7OiQiKqyqN0d6h7Kv7hvBLNoia53E6votm5Riq8VUyMm6wwBAIAAZUsWZFfNWJJZ1rZnO
IXAk2FgJNi6XWrDSBKDHLKvhuXYvbh++BTnCHS4KnQywqt57ha+qOe2G0IDs2u8aeO8Oju3M5MII
JvKkgtixiK5mfFEE03U0srJufPNrGzvnyK6vvA7gYhWlT7Fh3nWlDxcxMd4BRI5r5nD3lELruG73
vaNFQCHFLqj9rzqWw0US0av747nQk2PrGF/yIjxwdN2JBNm+PYOUaAz9rnITmkR+CB2OnmXGXh7N
DebxnvuIYMsnAjLTBfNBgcSNBtPSr9X2Gr1QfI59JYjPpScvpgkK5VRU33TF7nWKK2+ODwPBqHsz
aRnC+A0nESPKucnxB1IwJ/hUF26VrdwZPmWtaT1CcuqDBltS1iJoKpucgE/SaH2VS5sVoP8HJ9kT
AetT8YKcrElj91Ukq9YzxZ9jmwYaVGA9Gd+y0p7QdzkqCTcx/CvWUWRFFOzJghRIfWfn6abIgO+g
TDtFeVMtdQJ2pUraJYdZX4RT+S1XKbytKC/6xrhCpV8QRzaT1BtbDFFVeq+wtW0yEpE2EOzrEPBL
+Gu/bNiI10aE2pCV+aIN+XAzoIlYJOYHN54Qq5WvDFfh8JnWhVVoZ6FChaNp3RMy3NckoxWpA0Kq
a8w99fu+cvKLsbPXFhHFk0hPltkrj7rvLHRijHXijO2cyA4W+SU6PPe+6QDstIQfBxUpyJrXI02s
qdp7Xb/JiUoG77mt0+QmJgoMS+8XqTev7E5KuhXRrqZ2uPIabBSNI7Fu6sXR9vhwbUu7YHZisXSF
OIPLgVCO0L3Ua/GGwwqjL+HOFeK1xSCqTdUy74SpUK+mcdinmK6WQ6GTeCFfIz7rtZpFLQsHbk5p
VE9mUR199leOBw0lMlvaqeCt0+XGbbD7a5mslwymy2Wa9AcajHo5kXi2LCb7ayfto6wNdlleclkH
ZG3FKGOWqYHSI2qfvaQ+5HlxL9L5QWjtmfdH72HZC1/6R6IwSOsw+lU4D2T4ifTo1UpWOOs3rW8+
T51fnUKu3GU8auOFlk7avsxlA348vhzS+tbqtfeoSm88p0D8x66O+aSptKouf8pM87PLEVQ2QQ3I
0NSyfZ4zttIZ/Xum5SxrqDMLrXTTJX4FZKUeoha2BSfS7pFYyzIjZ5VkOdSW58RALhzYOjWUSP4Q
677fsyZrm3+/ZxUbZfFOBuU/9DHqlT9vW9wH2MFMyzXoWVgv/XrbwhvGgvmTgPJjAuP8hSuBucj3
C9VlbPLjsmVqw0DGZGgumJqoBddvCMlMV7Upv/gSABELbA5s0swP68Svl23bg8gYUk+7cu08gZe7
H2L4RkXm4EoHRLxJ3WmnId1eJlF+ZjiDfTVuiM2p00c54eTPkg5JFsPzKunJQ3GwcRlyYqJQU+VR
6r7KHDpBMj5Xen2cevLQXce7BHHSrC1EoEFl3od+AxOe7VLYZTcjDvelXZtvDonRg+u0y8DUz76u
McL0AhuvYPOoj+43QmzGTSKr2xxblity8kNTMjt6zZ0hDddPVk/seywqVK0MuRNua1i7GgpYJtIC
85dULjArMCkOejTQHxYxW7nFWKol2oroz+fqw0yWfBjLsu8us7Lt2JvXiV4x3xRWuPLZbZWl9DeV
aJTQasJxy5KdKbe5HuxCov1MrvtkAhJasEsqPVAuevK1c933ACUhFg0g7GZ3lQ33Rlu63OTMLaSP
RQGH2K07inQhcuM5yVokW35jkEwD678lCMAJ2vai1otXromEIyWLSn2NcpX5lpNbxrlO4UkXkWuv
5ITEN8I07JIm045UPIhKngoIhXnslqdqHstLNCrTUnP9deFCPgmrfZGVV62AFdBEm8x3L0Y7eKIp
Z6GYmtO+xLtAAabvcayyluHfvf4YWAUOiTF6RtQr7+fRCwljHGKX8BU+voUnCFAMpJmfAk+/o4xB
71ohjUMre7DyGJR+J+v4IW2hxq2bzCGkWkiSnozprLeUNboDoCJRILim0m9D6GMB00POSfNEetRG
G40dQpUzPc0+yOZtOvTkpMwtGN7wrvPyE6mdW2M0lCiQPFBcvq2sFlFi93srTx5p0+7o1LYSAQY7
NWZBTbsb+/CuYoXbyPi2yfsnEml3xI5iM8uiaunUsAjn2MRIh+IbuqqxGd3p0ilKHSQiwru+T94T
FqVDw3vTptBem6aEYW0Ei3F2t+ZsPxvUJ6QlgtHvs+McBje5XVf7ye4gD2nWLeEHr4XWrvP2rumF
II/CP4dRsqpInS8qJliOwOuTyFVSJlsml8QhJcTUmuYxbtPnvA8RcrvOhsEXwo+6WkVVGCu/xMw3
VL74AVA3PZdUvvMV3shTpHuPBpKLstVAhIwrJimvZqU7Kz1IbucwUpS7x7qRl5EtHrJaF2vdIIGh
UL6LVLsKdH+b5MVVj6tzQez86xBgIjEJcvfDiZ57yA5Zxm8TPjmdfQcwMN97YX85dMWB3zmvx9E0
L9wSegSa08zYiJjlijNrRX4Tsew3oF6HX5LYQHaT4N209W8zVQvk6C+tLzfSH+h1eQum99x5xRE6
h0ZL261M0aOix34SVk+UytHCUEIpjJyXntHfeKJG6z3KbNk05lPcN3vZNsBNBrzNngVpINzTsZyN
wo+X0zwc7UFGSzK8tkHReHu/qXZRSsiwlz4mRnrJ9PneLSp9gQb1pousFfj1Y1TUh1TvSQC2CPfl
Z5FXw5uV86hBNGGLjGQt7/fhJKAxxcMuM+pD7Rs3fEkuyp4xbtR0pzbQN4PLkq5nC54DcZ+hr2+G
VgeqLA+aLw6aqePnlNremqyd3qhGnLyjWe7kYK9IrboE4bbtsvncDSkprnnNQKHBocxX1kMmlLfZ
PU6YZ0glJ1KY9l1jvbcWibWlsxdm9DC08a3ttXe2RQlkO+QR2dHeHbzXVK/2IodFMZMjjI/6cuqK
i2JWlgQhjxH+8HgunsfMvPXVhh8PEBrZWl8mjr61hnhTVNUJe+khdr1vf6ar36er/7M2Obw3/6Bv
F5+qEhQ0jnBAHTtoJr+PUH/OAHQqDJTvNtWH6vQ/zQAYodJgw1CjYGA68HkGYDFdZQqgu2QX8CCa
v7UX+hDI/FqVOB6UbdTyDgBs2/0bZNsVVaiLaO6uXHpHPBRxA2QzMmjzasvf8p17aYNQburKBihP
igyNRd56PbwNNzaSL7EBl+MUBWWP0Q0jDpqNPpH6GgRn715XBDvL60JWVxUr9juM9FAMI3N24SjO
LYuLKHnGxcggtyCMpdIDZrYh9XQwIbJkzGtYc7TpPiZWtQ2GDC+dlkPUFJ2btV/yCFhltRjBNWJ5
MXunjduNUYyxuMhzOZe34cyCYxsTakQ4Mxj8rW+GyN9dzP/j0DmrppTJll6hXss6ENshdcRajvW8
1enoHuYh6tFn+JMzr02qt3A1Gf48rrMeKgCbs0BDnG1VGhCTanaO/dRG5aoySuc2dhxKFDAaUALw
D2wFw4DuNjUzuLFYJLPTiBrJ2NYu/x8pbPk0S8tPFhVMzYS2OyrdPcQiU/8jcvvePgh2D//ePhzi
Imz/e06nXvSjc0DKZrmWzbMoHDA8ajf66RnFSoj/gw2JwuD/Z3Xr/AVT1kMH7cGX/XgOf3YOagHC
U+sa7IJdFr+/tQBxmff9rXFgRQw/DUYjISy6xeHyeUonArMjdQFjJ1l9ZnMPqYtoKzrqnKEO+VEg
rXFOxMfWS82nqnRGnCIyO+uaufTBAOXgS0aYgZ2r48acPEq7fV42eMTcAVwwCiweqLYNLqSZYQgr
s3JOzyUssgpXHGjZ51Ea3ZIp5tXkFPXKUgCz2R2BSdXRa+liSjAU5owNN7JsXVuOEND8IqFVNtJp
JaGjRSJ4YmYPL63UE1Aw2QdHLSVED6ExcLXBbkArkUTojs6y7LnSjpY2ObsJgHFsxQHk30yu9Y5I
laAYqleDsMJwSJxl5+TBUlTFpkUfvEQ1t6sTbQfir4NZWLzqZpOwtwjMFeCO+zjU3oxjVUzHEnn2
aLp8PNlM+ngW3InaO+cU9f6EyXk+i865l0P7iMF4bWHh9Y9/7srvdyWPx78/iJcv6fs/PIe85sdz
aBh/maQCsavymH/r5ucO3vyL55IHCg2o4sd/0lD4sAKFUpv+P0cEf+CPFt77y2ERycXGlBvEwO+h
BRjM//1JVGeAz3/XOXgQRapf/6ShQD3AqVwX9ikdsvCAQ7UObscxLWoaDVyx0mICOblQp2vi7kH6
ZnurAU5m95q9SwNKtnwyyJuWOlqEBOvEZuzRt1mokBYmlkjPJr1EJoifME1faH5iH92ZlJMx0zdO
zpiQbPWNP3vvdjKQ4z7BGQwCa8bBFIWHgrithNgt7SN/SyVxdURyGQPZXJlK6WpVXpcENZPhm53N
aisJ9KpVspeuMr5aA+9GQexXN4srv/XfwQ4S5OedUHDvEZzdQq7basSGaSH5YUVQHmoCxRqVLEZQ
3lPWhUtPi5gR2Pdh7I0LJCgYKVKzYksXfmFLtje9ap3owReTALM+wrA5DWRuph3pZrAIsWNYNE4q
+axpGHe7hKHVKhUtbQwcX9lVDRUGDE94rAlQawhS64CVd3zQzJ8JKi5RoU9BdYFT1KX773ZQclGk
Ai5V+Wz+TNRoquYXFdltpjtdzIS5eU10nlS6W9Ql+z5EvVar5Dd/4hhUWXCVSoVL2ICwGf2CGnDL
/g/cqdnMm3DKSP6pojeyRJmjV+TMoRvcAva/yFQCXU4UXaEy6aRKp1OC1iqIrLXZfOtVfp2TkmSH
fAJJCjN66sZvmkq7s3wfnwqD9Vkl4Q1ufeepbDyNkLyUsLyMxB5/aKDnAmlNOvL07BBd/6gy9tDe
XniE7rlsTRFLwqIVBPJZDPfBNz6P+nyusfoiq/giK4heDVF++P6h58kUSHabXOWMn1J8OvCvVAIg
UYCjygTUhI1Cowo3CXGBE+TVBRv6jUuQ4ERZif+jUWj22GlfB5LFLtmLoxjJlZesIwglW0nlMOPf
D8rww3ZGZCoD9wEvpctayAVqiL+Zn5ThFj4BC7wYQwFfUBR8izggiaTAKuJryLxZBRATyTUS7aZB
P808DGe4su421Tx5rlgeE9RsXJhmYi4hP9GE85o5rrRTEtILuaNeMjoZUP8y9ErRSeKxsMx43Ofg
gxd2XcYXnjfC5B1suYbA1S2mCEihPgwbCabL08MTZDWSlA1xNMlNXri+f8YdCkgiS65qB0W2IR6R
F0y3jdDSL4VI6MBqmNsm/b0ImmrtdXwhG8dMgR0hyLaIAkB+TbgwYgFE0x7fG4NwSLcgV0nIfrhC
GUjoUUmmhTYdsYisU5+E2x4R0aLPiHsw4va16bWtAFK5GIgVLpzeRHnrXWiAVi4Qb3urskpIDfSK
5tmgpl/YAEQx0Q/OwlIXJXMrQGVsVDZalcG47Gb9rRbGU5LnwcYnNnMtG+lti3nkVEozMLw5e6hW
S3Tq5bpE76l+voGTM6oPaKWjbSblVcwTtZQEriW4PCLJv1rXbEK7y4OYzG2cky5a+gCMkrmhM/a9
5Qi/iTOj5ycENwC42Aa26rTJi5yVWoxnRCkxIT0eGGIwT6j0bWynX+BbbXutvZ3TYUBWiZg+QhRa
sB1o+wabbQ+DGjbcNqiqndO339BgRiuby2MFrp8HNs0WxtEb87u8TbJLPxquCz5R5FOA4/OSkVMI
nwBpxCOlz0Za1QEl5vtYGmKRlflFl0qW6mLcuoAK/1QI3yuE/7lRv3xp2/d/6qc/7dSp1RXE3IEz
bvCoKTLwz1qdsEL1n5mNI3H83E8TY0hJwb4duwrV/Mdu4EeN4P+FkxEHiyoUqOhZ0v/GmP/D9vJr
tW6z6LeIjDJ0C3ek/7caYej9UaMKl6eJ2tddR0OQMJ50QYiFUxzBNgsO3ZyG5npKhiF9EL3ACM0Y
IO721RyrtGmH+VE7+XJeJ6PRQe6RVVGS+VGYjv02opdUmBniTYkoZcIFArfB3yVC/5uv56K7ndq2
bTY4zoBnBwR3g32oSumQVaiplrV2QmMmGiaVcBXmUoAWYgk+inVuoOBfW2rCv1A0OPQtqdj2ekpO
RjOEln2fCZJgNqQ/EGgvOHAKx+p2FVSd3WhOffJNmt64CRNUQuswTPJurbjzjOzG8EILvOw1xkK+
8sFokBpeTcNay9BEEZHL/RwhG9VzjcE+sqzXwUaoNM+5ue0w40QczqG1tafomyM1ghQL7xuVDrKC
PISTXvFrxKExxx96cGSYDw9RCGzQU4dqGMMbQVKKG6bRaAlcN+WU7lK4v+yeFw1MFVogJvliivUd
8ezUIQGcMeEp+c9chhdVo2XXlrJMsJnwt15VvKfubG/NzGTaHg3Wti27eK2T8k3ZRlS5ZffZNSPI
dln7AF6qwVjkdS3XnlZSwXnmewQdbUfPw9eCHS3GbQsuRRm6jN211yolt8iZs37J7epto6b55sog
gO5GieTmFH4r2ZB7kXWGuy3LvL3wbT1ZGVqUHHnP2DDIVsZyNyzjPkFxQawguig5nX0/sLfSL/N1
q0JxSplD0GwsbyH7APDc3PA2PfMpK1KDYw8+TdNYbDIlgCIwWARtVHBv+tJMtgCt63NIJBELT9md
3ZiKZJ5EDSBxmrDQlwbEJ90f1y1x7wq4V61H4fZwEgnPCMYi3YkMgh1jmXz359j8ODYtZgL/3lgR
NdW9N//dWqlX/WythEowF3DbPlaZapDx6dj0LfpzmiqhREq/tFasKoXKk2DkiMmPc/jHsanc5mQD
6pybgDjVYfsbxyZKzv9qreC8095xpusMTXTe3+fWajAKA8iQP51owNqNrmXFukU8Tp1mEvRIzhN8
K0xzNvBqO0CCIBEZ6RhzkTsw/Fb6ozjS7ctRaZKGhMV9j0KGhFh9mU0mY0HR+cTNUFliGq/OBoUx
JOJOO7CesLct8idf7es1FvdFzfeekeg5j0v0J2q7r1VDBv7BPc1q818oDUBYoQaIS0mh5lFd9kCM
aJ+MM/opgJq57FdgKNa6UhZoSmNgK7WBSPvCYwuHBiFGjEDh+y4RJ5SIFCqlVmg4AfaJUjCEii45
K1WD3jvPiCBvfKV3CChtLE+XK5Sbq1ZpIgLEEVg0F7VSS+B4POvIJ3KUUj5yihhZBXOgLUlDvNlZ
GktCqi4t9IkL9K/HufK+zkqdwWNbLz1jOExKucG0pSZaHp5QxObXR96RKp2HjeCD3Oi1q9VHyMNP
SawMz0obEiuVCIX+6xwbV4Jify296iaOwmypJ2btXbemp01brcclXyGUWAY651NNnronkE6Rr25g
0yGpemvoRMkLfyPIYZ89L17b7kBnawNZaj6ck7RmRd8qCVgCOkWFuvshXYg0rEeCzI69Cn6vrWo9
jETBt9N74Dprw0AnZZAVT77Gt94N8bypGPlOBcoLFS3vkTEfNAiQXBU7XyXVOSKH3lOB9EJF00cq
pL5RDUZBbv1gdA8JOfa9CrR3HOyEyls31xuAukpWSoiPcM6jDB9JC/O5pNpD2HTZatDyYe05fF29
FpgvWI9u5U5Y6tysiPF8ttg8QwrjuPZpFpPrFKIHaXPo16TXrKa6xQhtxy/0tOGyG8oXdzSbZTsC
q2o1+OkETFl0m2kKzc6CmGRgeiJQqyIkKLSYHIQg58mXx0Rp7Iw8xzcPF7UvUjbj4wwgpmZZR2Yz
Lk15ZuyH78sMFsWYe2ts9Je5Y+wczyPRPvSBdLUtYGXDhlMm9jp7uIVTiW6BkJa48mw8laO2b8qu
WUwyfeuT/jHJScaa5HVi9bRCYf7OIXXVGCFEYuldsdPV14nHsjdosUL6Ey1TZX7FCIeGuIp2Zja9
ygQNolHckiwOHdyev2QEY9GH2OHGA0e4qbBDLEDTfGnL+myE9JFJkr4nM/EAkHy3cy/dpZFpDveR
0uyEsBKjkGaWKc1aq9LHQpaPogGK6AyMF/TkmU6K5VlXkpaE+3YRl+YRNvND0mgH1OgXnp+TXTna
ayeqLgJ8H8u+xKdqCwEOR/vS1dNWoXkQxWUL6aog+NB96mZimaj9/N1QuT4AQj/fScEXrwYvezLS
0tNWtSIZ/LkWv3cT//NaPL408T81E59vRTVwZPLPeN3m/lFrtp+3IgNHA88BIAJGRCwF/jP5J9GE
BFMm8czk/9+Y8set6P6ltnZY5U2YVhYRp791K6q94a/NBMsFuh2LhoJ3wR/4662Iz9OGYq7PJzOP
HmoT2GbGIYYeoa5XYs43Xu1sBQQze8LDPPoPmLSZWPQjiDnfuUs862iW3T5PknU9eEG7cl0SKdZx
JKv7rPQxSBj6OdSKZt9B4QOhnyXaK1QPauZCQHQ5uMFAYrmtVBNO5ia7tsMvmfNEn3XmFvCTnVuZ
InEA33AiYpOKsDBXVYSEpB7Lu2nSHhAK35vwOBe6QWOvN8AttYk0Pu8CWs2KlIG3BvWhnSLgCVnj
V4lxDZPuwRjaYhV1TAmDLj0OFbiPPii+TQ0Ogoh4zsBi7oKiw1zbxnhCo/tSZ5Aq7cEkRLaMvtYy
n1edHsCyG711qHdYV8sI+zZ+Fp5mzZr2ciy1JROeg+jdk0lqZS+iw4yiiH2oy4QqUmbW4dAM1WOk
+1808B2c9OY55Q5EkPqQxqj1m2S+7xq5GXpRXYlAAiosvxm6WA1NfOP3FThUghurMGdtPyG46Q9a
OaC5hYeK0IojyTR7hlSMLzQNpYCZpShrNHAbkbNEl2SsAkROAPsj72TQM1Fh1+ly6MjBjEq57BSP
q0zIlcnpk9Zems7LYiQrj13vWzSFF4XJULILYHQR+8Llb+zpnHd935yCDFOYyVgNe0pTV9xsnHfb
zs6Yu3GR7c2Oy6W1j92I7MgsDWMZFcPG0oPXlKyUNBuJFuEsT4rxJXSok/gzl8SYkw1BjqGMGC9F
pvaiN2FCnBQxICIlZZCxMgZBaB98sGtPJ2DE6COHhFOTW7dobqM2sK6MDoGCMEKg0C6JpXODuAh2
AUh5zNTZ4K48ULHbQoMCnvH9RwLjQfSz9lrdPlBa7vTeeJBDJ5Zh1OqrrjXEFdOx5JImGrYovpF1
ZOfzIhhIRylGgPgmPvvtJIR+VY2mcY4NBUdNh61vVTtm7Bd5SiEw1sYL7k6bgeQUn1yTwGIf783k
Ia/tWrmif8yWtixep7bcGEP8VIZcqn6H8Zcg0mWSTdnJsmDhj/l3tODb+H/CdxCL5MSXxeeYbnUG
/GeD79lw8Dht0AKgIFCiAWr0z5VzZY5A1hClnLL8PrW+ksYu8/2nduL/76/wQT2zm+GM1FEr/PpX
TFU4tgmi91Pavvbp9VTdFf7lnzvq444y6HT+vXVTdxSohpf/bt7U6340b8y8TLXfos/itsIP9+ma
0v8yfZvQP3V9eUq++kPY6pKTRUf304f3qXdzmYYRTOHjR8b7YYDI/o3ejY7wl2+gTbiXuvKw5ln4
VtQ35NevByVRarjI50+5zhD4GGFHeB6FHnlw54sivC7BtF7Mfe08O5Elm52vIQ7Foq6Raj+77YMf
WeWt78f2vARPJEHHF2732Jq9AF4LAZsaC0G+FWsPo8HhM4aztcwMI10ao3Pt4Z7qSfHsB+cuzKYX
Gc4v5KxaPGk3Tuuh+UP7ZGR5zAHKjFmkznocghWpDhfoR/ALt1T4YUMoRKhPL2nd0Jkw8l70RqgA
+wAAJ7o+sjU9hcYfVTyKt7B7f2+FTbMYZLCrcufGGuybPHbEKjXdr1MwXsGjQLM6cC8V9S1S9ufI
Yx1QBtwVQEMIWzVmYsViP1+WQxkvHcu+SRz3cvDaJwOzQ0oq4WXelIc+QkZLii4JLa2LO7EJ2ZjI
Cv7DnN7Qyt7X1lwdzWYoF6QziUWjFldNTsiutNSuI2Ot1JkjMroizC5Bl7G8R8TvQCxohV5BsWre
57aZ2CyM2dpr+13WEn9IYSpA/EKoSKDo+kvLwpSGjHoDP5WGKOEzQDIjIRZ49i4u+F/WMPYYQsqH
Ikq/wh05e1a08qrsTaTRnVMSY9V1CUGIdrBnJ3OOKwXDtN1oyV40WIQY4UK1ky8z6yZynDurwQMB
5/CrUxYH+Gw31eSBftIJdCoKkI6gqhP6pfFQKEsS/eTCKottFmvjwrB6EpkE8r26eEicNls5jow3
4H7XTkWyqu0QNi+pAtBgbqzaHa56RRJ3p9br2H7tu9TJH7xcpQqm/XkeuMtsM7oqZnw1tQaYIZn6
+2ZKXgMal50T0XjYYGlAdj46hvfkBuHSoCAByQOjR70NfbjRJnyBwXzK0higtLHxg2u+rCVG9f4y
89PreXKeYwd4dUFQzqYZMVtYMJaRFk1QufjaCTu5LA06ZlY1THK9R80F497ZEpFpMkLyauJNKtMr
u8pPBI0dLN+5HlqP0HO1MAxdC4RN/QyPkqAv4z7vMsTLpXtRDc5piqXJ/U9p4pNUNNQUj0F7x2bt
1dHGI97XdyPI72Ct7QX5PsmQ0vORXrTsMh9kSMnPgUne10wgZjRmxpjemLFgKZwT/3jijGX0VDds
uIWen4xAXNdcm7WfvmpasPRKzDtuxB4mN/PrjgYLLjBlZ94Vj5HyIHFtIkXVi+ygZX21tFWOR4A+
YOnm+Qtz0XTdTdlZtMFTRnDVkvUAc27f2vnefJkV3bEXKShw64t08heqSZJj+Esl3o4qXmUBGSJE
YbQZ4kjT2pkVnIA4YIpAbU9Ui1dsJpgvlqFcuvR1kx1dACU0D7FoijPy7qC9GAdB+O5cEGRkmDO+
1rrbicR77PMiYxSbE81Myni7qTO928JLx9RflMjERsu4HifrgsWmuIp4sJb8zO1T4VKZ2AMaPEDf
4+NcA5ZrhMgOiQWmp+MjWMtMy3aCfSDoJ0roRYg+D+qJ00W7TjOZoONlIt0MZMJGS4J08eea/n5N
03r9j2u6/Fq+/cMdzYs+3dFKRcms1IJhyJX86Y5m9gqw04SHRoVooNj8cUmzl6Kwsny0nIhTsJr8
nK9+bKzoTWkzfd0D2/FbnaSSx3wqErmiLYaJePwFhmmdGe/fKri6rKFmR0l0/X/ZO5PluJGsS79K
W+2Rhnkw6+oFEDMZjOAkkdrAKIrEPM94+v48lJJIJpP607qXuSlTlkQiBsDd773nfKeCumhvqtP0
x7AOCmMFFpTgNBpChTUwJ+pKuvfkPIgB0tSObb2yT4Ol4TRkwkS+YZSi+Q9lksXyklSWFMso6RT+
TgnjCQUnFODgqCd5BGSz0sOy95QOhjJGK2NOib9rHF8MM+gwkZExmSB8eKoce3LrqSN+EZxuFW6s
oWvwmccGeYlAtYxNFdRwrPKsIcuqGtIav5eQSnTaNFjLwIai7yY2+vm5xetlcPT+fs7+l36jcrN8
cOs/5dz70bugQH7wx+2PdAsdMVZmmH/scq/MV7oIjGHAAGCaAsLBGPXnGVWX8UfT74fvcHouhODq
RyeF+QKwWlm2KAaNf3I+NUwxcn1dIRkwDIFboNN0LOfUZXkh27IQJ9lMN6WDImEKajkwyPr85A8h
CFeDdNZOk1eGEq/qKSAQGlpyfeXUmXSpWj39ZKRIuQWp1sEz6CBfWHSNUn8mSMKaHg2JI4MZ+hnY
E3QQcSW0Eao9r4Nm4E8cm9fAxdH0Cg0FKsxx2ZeSs6oRWORlIj8GFZqLSh3LVSF0GAODHrcX2oy2
4N9qQq/RJWr9pTxpOISaYw57Yzfk1i6OaxINmcUCIFexVknrTiWMdVTZDIQ+hFqcyaeos5GOUGOS
gUhEMnsjhlGhL8nqOFiy9GgkjtFVxwpMoH0yYmlBmqJhrF7anFFdVehWZm1YAMRrjjEpbS658Ok9
577pWlFAppHmCu73IqqCcEEz6zKeW4iJiGQmWdhoORUQQv/YRASW2XSn9JaQTltobCyhtmlB5ezy
kwJHaHGgkMnL5iTQARRIa12odvrSVl2+FgmzBANvA3FP3Baah7V3V4m2fNIX4+UstEB5oyeXI/Kg
QuiEHKEY8k/ioWSeoxWnH5RrsEwxa8ZCZlQLwdF80h6No24vSDNBkYQPe2YmnZf+NZm95bo/YbS5
sfNtXvc9+zhaId+U7H2kQwFxIanuE5MfzvdK1fmXShfep6FBKFluPgR1ZrgDUJ8ljcP7RGmDpd9i
u3YgjzNcOE8Fbs+Op0NKEooXTtlzOBuLSgvaw4RAC56ybnl6bSeE1gE5lHpzW/eVtVMN+jx9PF2z
5vI1ZdlaD/kfpyaKYzQ6/K2TUNtHHTpew23Vzo/cumdQsu+NUtpNmoVCjCH20TAaIi5qIkTo44N8
9NQGgkYZp+050lfygLjRoMwO5qqujOrM1Dm/SEVBAM6gugz7uzWEli+iMQNMQPEmlGy7YSQoLu0D
ZWXovk1qcbaSMuebKjVQ8bPLoutufWjBTWnhQVal8oKY32mrCtl8UMwbyaDBldGMupFj31/a9lMr
jWdRap0hEjyfQni1Vhyuq3ECpjyveM8He8rPjSz7MvfSmaFE51lISETUGf4+twHCZcCVV10YXIfT
GGwJZ9zWcb9JKr4kO+QYPESxK8WW76qJ/RB0A0+gGR3GviDFLuccKrV9BuWIxEUz3TrYu+0a0nfN
9LxIFIRJz6YFp63NVhS0q5JpmtzTBwpUOpo0h8Iyxr6jn5HnTPwtsHy4oyEFcHprp/KBeuXW7GX2
PzzhJrFVjrnz7fm5rJQrY+62VmcDHsyWJrA++CwjGa2Jh3jkITS1tVn3yyYISpIJmLMl+ZVdqN8c
AIpulmpPrTNd6RKJd/CU91M1gw7RvZLvOIshkurMbIKs9/oZNxOxA4/M72+Y4TD3SOJt3YVHIN+H
zIZWjTPLH4uNlRUYn7l8asiXRJ+S+DZ56jxtc79bSAxwkKgza0k2lkmEbhlvzGZcMVQdWYmiR9MW
SdblRkIBmITWciqLA/4te5nLxRpgT+zCVz2qzMqiPtiMoBqzQjonM2o1pdFD1YGzTkbsdNkzU2TP
B0lJI97z2xSk4lPhd1ek93FHyuTI0mgbSEcmNQhz+wKWBtF6taf7BNvp9nXTmisqdgJPRviFzk0a
z+qCiSvSr0FeZ+TEOz4h9plPVKclr5j1PE9VdMEKtyLDwWvIsjVtpJJBE27psG7Gub6TlZbqwr5m
Inhnh82VcE12GWHz5VMly6GHeoRpKXxys1w1PoGogb4MydQNtPBSAwpW9NoVddazIkGirZndwUUr
ZXkjOf3GbqSVHKbXMYF3raHcUtW7lg/fzzRKSLUAaORuxaN40Tj2StGaneZPXLBakok9Uvk3CzCT
OWgj9ZGE8Tt+FSli6OInTGckSAi6eThAgxgemryhTSydgSPbzpIFmpOxYF8nqxAUmBuWfkWe4US7
17TWakt2X5d/aZHxTqWFdc9CEIOclsnfJrdhJI4ZXQnDAcXR3w21/Lmo46tCUgjFGSm0Oj47CLt5
u7Fag7vTwgnQX2L8OStn1K8SFJHI2tijf/BFRoae7XpfweQW2cyAo1WWTkdoZeTLDG452FAmnXOU
lvclKNqppmvOWf3Wr83Lpm4OeWNcIUqVXZBF1x090r6ECCFkA7mRnqdGsKOXLLsDcWe1WKjm4m5K
2jO1Bv1dhjzZA62pwWsGMT7CQlnmt3U57RS1OJNUwhaJ3/S/IvBKrxsELx5zvl0tA7mAfEq6JhtP
/A3c423cZgTTDC1WXKu9h6xMsyLBUYo4OVK+mRkd6ba6S+pwK6vKgfUWYVGdMOJpzhgL8lySp+rN
snIfGk25crTkJmO0zLAlWSeacowTO6aRQze/GLQVOrmNn5jeoEqQOeaC3ETm6MFAnMakiuQOskvy
4xiY69gfdyPo31IqlxKBly2kE+HY4AlgWBr31rLrgmUdSrlHUhea7c7LUjYJdOWbXrK/9b2xgsW0
htK1iuRxSaed9achNCkY59WY5WdTG5zVrXFDFB17TUs2B4f7Nko8MjGlXa7q3OtYQwkar5Vim0rt
fqY72NTlY2fXyyBuHGQJ477XGTNkMtvfiyPt/6jBbWj0NU1L1/DaoZh63cFsh7quuyiXDnJGLhpY
2uRKggby8UVeAwBEo15cBMyOrKHA1dQ3jXoi/WSTVEXpMNpfa7LFuvuxQJK6yNCpfXyl9w68L68k
XsmLA2/hF5My+1xJtS9CnU6BhWl/xkv+Ke6+RIgZPr7cXycQvDGeJuyo9EEYmb6+nEpUmu2nRXDs
pS9td1YFj3lKNf2z5njnC3rvHXFa5rDMZdAdvbmED9RUdqYyPIJviYd1N03LlNDPLFhHTATV9uLj
y73zjnTFoWhhpkJD26SYf/kBing9dZLb6Ii3zI00qkzsiclv3hNl/9uy5NVFxN+/+JYaX2rx9nKR
mEZyW5/HTrj4f3sb4m2+uELfznT/ENAf63JvDmDnihufaMKPL8Lw4cO38earKRPMaX3WRMdRIrbH
8JzoiBOUBe7eoK/dHNSu+c0V3/t2cIzgCUAMZqAEfv22ksjOojxWoqNVXVZy4JXp1vKfP35X710D
vbCpw+JCl2a/+eh8YrpNu6/jY96Ey4zc2rzwhvT244u899FBf2VQCAQPasmbixRDaFlRNMZ8P/e5
eR5SKcYsBo5/DTxHR285+JcfX1HcU29KYZa4X1d882WFEEXrUpmI72SAi8WN8JnfLAbK609OaKgN
xUJlTQaXIJ+Jcv/lTdcUwNjDUcmO8Tm6gi2b5x7TzNK4DK8MD/TVyvak1cfv6vUlTyvrq3f15pJw
H7MRfWp87M0GjD9GDOy0arH5+Crvf3bMuGR2TsM03nxb5qyYVpvJ8RFgl6eS1Igc6uMriE//7beD
RpO7zaEtyBD59UdXYuMkvBaOiUXpO9kqp80vkU6udhz/5r2894m9vNKbBY65f1HTzY+PCmBr+9Lw
r6v5N8vb+5fAMwuujifJenOrRUrS2/ocJMc8Pxg0/8ZIdQGG/2are+8R4mb7eZU3X31S92E7BVwl
Sh5T8us1aQmOwQDslbRHKVmnxm++o7+8LXT9YISwKbIVIcl5c1SAy2iRYlakx7ZfV/WXwVxW89XH
t8FfbrQ3lxDN3BfLdt4HfKBhlR7heruKhPE8Nn7zsb1/CRHFjDnSoc/2+hLxOGZSSqV1bNJHad4y
H/vNBf5yK/MeAMCiSzBovJH48foCLJ3WoORzduScl3XkKcfbiEC63Hk6fVb/dmVV9cVNs3hoH/4X
uWFAWC4IEPvvf/ZP9ePTt3cmEvzUz5Ys3VXQEgaK7xNEgr/6KW5T/lB1JhUO/VBWrRctWQ1cBSdh
EBMIvh0CGXngfrRkCepGasJIQtMYHwqb/D+QDZDuzS3wa7U7yQYsosyYSwj6BFOT17eIJqn0Qqok
OSiy3tY7p41KGZh/pkuf7SKx0FKZDLI9IFAVTNtk0akZAKxsM263QHLWuUhoFi2o1v5EV6d0y6i/
AdJXn8kjYXl3vghtNVsMkhMHV4+URhJdEyKNcaZsStWAFYfDvUimwygRxuFY6oPPjezhzDgryYrN
zZEhBemxIymypYiT7ezxE8na38zSuiq1gl8AwnYTjAbyL7vY6I1z2ZJO2xfQo9An00NSZHNZIsq9
9UmzhaDLXFqeWi8ZlQPJTpdDBvvWnBAdByIOd6ztTW9irMmSYeMDgNRFdO5QTN2yF3G6RVH1Sw4T
8aYkiGLpIIlm/uqTjluFd11StYvcKJN1AIndncUAUBOjQDTRTAUHMSBEX0UJXJ3mhmC6J5zFDBPD
UC6XiRgwNmLUiME5uLLE+NEUg8hCjCQx2BuHSIwpA4WB5cTkshIjTEIXgaGLsaZZWe26FqPO8DT1
7MUAVGUS6ouRaC6Go7hHe0y/DEwRlTE7jcUY1RcDVbusqfwyhL8BryGvop1uSaaydSBUJSt1SDA7
W4nyVak0fUEAmWtVcbwPybHBkEcipSBjYbd09WBeyUZ2SXIPwZfjVOBDrpMnwt0/V01yXsikfmfW
sE6RSXvM5Pa1I+2BYHEjZdHCKIGihfmuVOt7VUrO4yEq3ErNbrSAcLk2tB/1sjrC/bvIs5GY4rC1
EqLQJyBJ2JY1LLRGGM97/Ge5K8OgTkoYBZre+3S1w22X+UhXfLoOo6nay2wOHueRZdeXi4Jimw5p
IUb7hpOHtHuNRzrPtdAVJB4msGahheOyU1CMZ9NtIBJ6wCQY9Mn6GPU+rXuM4Bew9LOFLRvkIgdZ
RHplQK41/xKPrhvSarEooLxEBt2aGsSS2rPer6cw6hfyKEOlA9uS1ISIT2XS7GSU+GY09h5dWHUZ
CSqaDB7NFJw0H2DaIBAQjmCo+XljuRX+LUcQ1pgAOW4DdC3zg28QxFKPp8trBZctFoA2QWqbCPNR
ZJSWnaC4FYLnRsPCWdnc+rJgveUyVMyFD5oLVxcNYWKMYqtIdrmAwv27f3wfaHMS+llh/2X/uHjq
H749vLN/8FMv9w/mzmzkqqpRZbGFv9w/bGH9gWhgQ0Zhaf8hO4PGoJpkV5oMmgXCgV3nx/7hMO0z
Tss9Lst/ONUDgfJ2+7CYfDA7hPmI4INX8Xr78Emd1Aw/mg5RftQmS1g8IJ+NrXM7zurgypNauY6a
nwMzvyLC7utUppJnkeGEPBXbHbHhSE9aZ9ckAg5GOswomV8xIu7Tzvk0z9WtNmAXIYG2kkzBmLfu
0zIrMW+YqkfiylpWs3PabDT4/N5xk1mD61bR5zUBHldm8slkTV9pBc5oha6pCsQEfqpxl6TWp2Ca
v+KIzD0/cTZD1d0mUXusHf0isuEQce68zpLxtijG4MLv2x1xiqU7Sc2ZYscd7VxofmPBe54Xsa25
ZFVsOztcwbL0mQLkqzyUPndl5DGmcKnSLlI7WM16SKi5Zfkg8BqaQfiTSFVaVTYjRXiCLtaxb+RY
HZpEMTFNVtP1LGUsLz6q3bLx5mpEBBVrkScBMELDIsVLRzLuszlRlyYRFyw0cgpPLiL6cIBLK42+
sGLGC3voFynnkIUz6QwDndnVFOKKaP0v59r4RJQQguaAsKZrBxtq67idUdAiHM2mmW+VYZhjj1Fj
hW0bvwf22ZiOxsU4BbEwtAapvoBOD64ZB5VtYo9vprWcjpt56M1lx1zExfu/BsLYeyeShk/zXLcQ
JDBVeyrha6Ry47j0Sb7MOisYXR+MGn532+b5l4ixgm8wYCTl0tCb7dQBtK2tmJjGfINwXlqGSUmE
gNXvHZng82TSzthKP0+6ucvKEgCOMT1UilHd6hnjgEy/UhCDDeWwRQyxHuPYJ/bMJ4Yt8jc0GQov
qLSzCc+t60h00ycJl9ac2Z+knjGTWUlA91SG0z0BcuxLtj9sZ8eA1ViUWPmDHLGhhD2nKtdRFOIl
tTjBqP5K62jNQrTHztl9mtP0c2qoz4XGZ+bH1R0ZIee5n9zS5b8Psvo4hsQNja1NLNl819R5xq8P
N4TAWF4KXzAf213WWdzN8XzXM8fKleqhnaKlZahnxHQtlKi8N6OhXfgakL9EzlFw1OlNp9e3YWP0
btmRIipbyRmD5mU5w7hsrfuKE4JLmMm+5lwFam8ta/5nhTniWp6Yf3bdF8MOrrAlrCwlP9BbPYyl
7PCMzSp5cRwCKjMnYbm/ULVgleTfEo4DXd/Gy2bw10U0QJ0WAGwQ08cIAbct+/w/ApLdWs0dqTOj
x1nrIRMgbUNOWk/GOaikAUCFfroxBXZ7LFLYJLV1g5r1jDnB/WyH+xRSt6bCXhDobmiR3/xM3mSO
zW1kVdu+y7gBfTFaAvsN/9uIRUprr9xwG99ZAhEOWfqihRnewA535omYAmk4Fj6nnaxRdI+oLwtq
d264qcCP25gc8EmMKRk7zlWCRtENBa7c70N5CVsDXanpfB1hmiewzX0BOfctw180J/D5VDnLOjbO
SrvRjzN0dMwFcNJJ8Iuvy1x59CcN228y385Fca7NwVclV3Zd2k2bzHekZZuoFyFnW2HHapjGIY1D
nfhUlDBgO/R7KCVLMbGtHLdsHT4Bx2K/N9La8/X6fFass1ZVdlGnbMOwvaoD/A7yAC971i/GTjor
Mt5llFSLsg2BV8+SvqCmXwDC7TwCkhb/bvnft3x26L/f8g/1Qx5QXX8vI7ff/vuf7/Q0sa//2PKB
FZJOpvLbLBEXLerCH1u+Yv/BJmCo7O62YegiqerHlq/9QWfeRMGG/AdhOZSln1u+9geadVPo1kmk
opX+j1zCFGtv9nwwYxq/H7wz2WqaIqzKLzsjlYnNYgBkxsFdCZfanCZwbjrHP5PGSj7LrQZPvyRP
3Rc9DneRP93bAUnGEPMfNax5C3Tog4ViN8WJWWlyjLy2wpweRzGSXTMsPqEDNyec93ITQEaZMAph
e1BZtLX6QU/96InMDx/eTW4IjggUnhyrVc76SKJVFFdLSPgqAeu13q+qOmaOT3YkmbYJNGCS1zkl
RKWJ9ASWIcVe/SzZAc5gjJ6uEfk9xiYWEVvBgyhwA5IWOys0FIHbTBj+IeLv0k4BIlycNYa8n+fh
UtHm87B3RNfrXC/SrRKE2zHyZ88wa3QtimR4RUM+tdroIRlU5loupWPMM39V+vZZW4ZsZgHHkMBp
lPO8KWpPlYZkOZkgK2qYCkAgu8PYNgcpGZE6BBijJ53TAxzmJX5Gk1AEs8XdEmlT/Zxo7XWUytck
oWUGyfZtfpSqZN5rOmmIVbkKSjO8KyJ24tb2/MbPmOahQtYKSERg9z21BF+sFrZLtCinBS27lkxj
WJU2u4NVMaCv62xN7KKzKdFsURRhhwZxvVCVPDz0AUL8CDI2eKJm1Y5ScWUOVCNIvclzrV3N6XK3
VBUviqS9MmurHuo16dilftuQR8MShjqGdW0lp9QcHPS8sZtBDpdWeW/4HVwuRXKgc+S4ArxmquP1
i0fx+L3r8YGJB/cEFkSayiS9ceC2TxlIL1p+sRwOcuKAYVLlkDD1dFAfwonPCaJ0/ud08N+Wmehi
/v36d0y77KH56/onfurH+qfSMkOMiO5WdMUwNP9a/whsQadLr4ruPyukYNP9UjHq/BWAGQB0f66a
v0oeOmwqRcpPvPw/aJnRnH2z/hm4dWikiY4ZOhX8WK/XPz0McpS3k3IwyKhMNpT/Kuf/KtnHfurp
Aqkazp95tly1atP1EDifJRgAbhaSl1kEa8dPqWQoLZjAs3wW9aXZF/jcZMBGgWdm41Ybm8XcwTyS
7osg2PnBCh3VQYmdYF9Eje2ZhiC/KvPoJo05sFDN3zjdxzxJHEWRet0jGsZGokntSh/a+7nA4Myx
bKEZ/ZFzobasMO7x9/LZ3JOVif1xr/M4AMhJP+US1PSslp+isnkeZvWbLaHSL7ok9Gp1vM7scaBz
hpZ/kj7XM166kciKGDonAibnIjen6UwiqJA9Qoi26FqNPisYBlr+0DzzFJP8MeM37ZUFug2VBNuI
9osPpC0La5hrhfYoJ3ecEsPGpOVFL9LArGSKsaxvtfWCWm/SPSNB1sLmoGnYY9Aeb+tGa50HJdLB
qEQj/UmMkiG2UzgnjFkqShYJZ7qgoLB1UJeeyCiqna443SZbTe1r/JqCoTIJmgoGB1y0c1pf9gWs
FRykFeN7+CsqvTtAFyzBoaCzZILTklXmXTFDbuE0Oyx1QXMpigZPhCC8jIL14gvqiyn4L4jPdfRV
MGHg7HuQposd/EvKAKJ09wRWxAtg+M0uRMOxHgVhJkde3SwqwZ2RQs1fA694VgWTpgqrzqsEp0YB
WNO3fH0IgqslAbX4PEmociNBuNFl88kRzJuOcJ5lLjg4lLjbVIaMg18+PdpakCyVEzdHooZw8Fqt
dUHVSfrGWJPh/ZQJ4g5RyMjIBYXHEjwePjkk4oLRY0MfBXENtwfAP5+NYPnkguqjnQA/imD9ZIL6
U05M8QtsN24jwEKtLdVng+AEBQPEICdESIAKTVuXpFgv+fJ0OATGc4QVDxFliCJL19bsIoCIZMEk
ip0yxGdl61/ljFIV9S9aPkExooLCyl/qPWg/ATmKBe8ozjvIR4KBVJMNshlmiHbLELGWTJIavCRS
w+v4OcW5vbFR718WCt5uBpANIYyzXJ9pVPK1PN6kkhIsUjkFQqE5yapIq08YswJPnn00u0CTl02I
Vbtv7qWg+pwWORZX22GfzihA+owmYyxDjrKm+JOSF8e4aqIvE3E8+EWC8HzqbBSjJbCDGexj3mJx
M5Hqo3yutk5nPoVp/4Wjz2oIbKxkjvQ8xK0IoI7uaS7vUj29E2CqNVm5ppdmtVhEnD0fxbYj27Hg
OZXEHtpm9g2UzmOlhLsSGLWb18UFs7ZH1XQ+96kEG6Iej+0M7N2u600xN9fN7NxWoekv5RaYW9XV
tMKnCEhTNK01le4ADmQaC0iMBnbm2g6vAtzVrhXg7+pSrToz5PmBYlvws9RNVIS7xPIPtjbspVEj
8QbfAU8KrVZ6ulh8ohSZHPj5r7FNC8BM2ngTaH1EkClcvRGg0468IexAZtGA2cu+Oo3BmiV3+dLU
qmMxSNc0LkRccRLtgrzjUS4CmuvTYPOSqM8nCelhObIm+cUQXGbwwSnnG+nyhIKaZd+nlOKireBt
x37krGWinK7SoC4XtkoUAStMB6/GRAlsjM661JVpOcehLaSTKSuMNa0FVHTpN5EG6jrTl84ckz9d
G88cI+dFos9bAhMOlOZnmRafM5kVuQGyutYAAC81ufRXBPER0QoubU26FCJLOtQb1RyNRUy/Iwoh
X/pRpK5VTTgGY15tmPHUqgOS9zRHMM8BWziQWKVkwdUect6pUfeG8HEHbhcr5lqKabfEGV7xCjQJ
rg5wXixTnftvqXcq9cTx4++POldR/1Q30bd3qj3xgz9OOwqRxZh2mQTKKDWE+ehnsccUkA4uJxpK
LQQPL/q7mDmoC6noGA+SXfy62GPgy6iRE75wOf2zdLqT+OXleNBC5sVRBy2EaXIOeKvBCtUcOWin
qfu6qKrSOpfSUxotp5UmkxeOHicHp1O1ZMHqoIB/Grp5pUyTYrlTy7QKZXV66AoSacnFkbaGkQNw
SSSQ1GqTn9HVyK4nLR8O3aiX5yJ86LEN2mGnZkNyrSsDDsoidnKvHcmPUSN9U+i2v1LiGuG2hc3j
SyizkyPHJ4GuHkpXd9J1oioEfKQ5ADvKi2dJi+YrtTGjDs0sw8p8UohssR2qCrNaEL+jumy7Gfgk
5khZ1vk3KmeNqw42ZXgtx0YSNAS8K9W8ncsQDHBN+a2xRMKvV7lgJ/coonuK9jpcsMAU0wNi5f6y
rhWbnhdDSJqjM8LyCyTJ8TIzoiq+leLZEO3SxLKYK5lVTTKIRkqE0SM1IShd2+o94L6ZUyhBb7Tl
ELnabQltRJS8cl87xlkvqmH/VBhnokbGwEa5LFWidJ6iXNOAKTTxdgo5Yi+KWb+alaa3NqqowAtK
8ZZIl11pIurdGzhmtnZlR/3VHNvKaqqNnEibkBtz2GdOOuXS90Lr3+JH9Er+fkX4nqFV5w/1t3et
XOKnXywLiibiJYXU8pR79XJdsKl/TF0WsxfGOz+LIM34A60X4gAyJd+mVmp/2ESc2xZnbSorENr/
RDeAHOpNEQTpQuB1LBCbBogeWfz9i1rZGQ2JDFkc2VJiqyBfuF9tHOJbU9zD/el2bqsWTaU5Sdzm
dDW55f2hauLbKU4YXJweilw8H3kF2gKKl3huxtMj1H1/ngJiIHi6xrSPedaq70+expC+conP5pHk
4a95PtvTw2q3rcAKA1pxc8nCfDAHc3yTFWRN6XRNVS9NZIw6CrpFZuJxuCrLlC4K3SIg9xHeC8Iy
PuUKkneXUKH+U0kbmdG1Uc6Tp+ezknpSU+UeNG37qCV9ea9lVXwvGaWxIUKEiF6lT/2DJSuB7aZ2
HO3nhqmQl/lzBpY7Mn3PKdRtHsiZx57f7WXJyi4sM++vMtpeyxqPmQ4oN+83neQbIBcq+4vKgWhm
huQUs9vTnR9dy44My4vRoF9Jil3M8OmyaJPW1vyYqZK2CAN9anJvkiujBhTgGHHpu7rWJcXW7rV2
bdR8Ic2ChL7+vo1qReGgT82kx/il8iVLH6sVK08vIp2Bp0IuBe7GmRifSB2sLbmdL5u6JzHEyZtL
h7ySVUw8Oz0ouls3MBEuHK0p6aCfokdyKejBkDZiMhOc4knABhFVYovUkoQ23c3o0N/msNIB4hxy
OUo3spZjIJFs6Gvbiqn0CE0ch9cT4aPBk0OU6xqxgr9KoxAca+SoIca3huOfVFsLEp2bO6jmZX0g
G9MhSqn99yzzvQGtcbr4eOVa0bp+jJrH9wIA+eEfCxceVObKdK7lU+rGG5qXgpX0TzDwiRr8o3sN
JwXrnkBB/vypH90bTkH4rw1w/xCDT/jLf9C9edu7BjLGuJzVT0QIoB/khb9ctoyUnOrYr+fD3H6u
bJ/syj/vkL8lAYnf8OvEJGSwOr8DpSUmW9ZFXbyCFwvjXPpmOZaacoAKiKEPICHWTAN3xubFF/BO
s/L1O/nrdTg4vrwODp6yqiODLpSwdtfng/Xt4wsIGumH7+TNbD+giwAZineijhac9FuLIlKaPEfi
yNcvac95TX9fdpsuOrbQQ5ToiUU1wDtWXLb5dcB5rMWpaARLG9tToF928fWQhfhV/iTO/u1HLuQM
H75SOoYvPwstknzcI+Kz0Ej35WhVfu56CmdFPww4LiFUuNH0bEn06fijbUa/kaOeMifefumYLgyB
YsUwJLBBL18AIHml7WVrOkx9jLNZcer0PNFVjVqz1KvSc2I577bQFXf1CMSzG66UFHvjkBeY72Vp
9sDh00YpOU6u2kDeDU5LUyTNwNBou8GXGyD2UqzcjloWr7XEiW36CnDjYcrVZr0t6dmpfbXC1bhg
IrwO50NvwoiDOSnO3p05r+vROWYQNud45Xd3Iug5aG6awN5rWJdqjLM9LW4Vih2UK8b0lI5xuUjw
CpV0QkzqyZljajQpANq6c0vOllA/p+quiTNEEegfhvxMafVLFGExcK0+V4vbzEjdUpu1ZeHctLq5
QNyGsp7i04gCfQH4nsQBm9q4SNJ7BhhultHsdwwIedjyvpOt/vYWOWlpf31D6BxfP/j6m8eFZPom
xjw9H+S1tvG383n7WVvb2/rQuMp5u6m8emkvHG9aad6u3qEDW4z30hYC/lpem/toFX+Pn/nbFyQe
nl+v56+PL4e4l3eMnqadlYlbtki2BcmVw6JuXLQg8vcN62+vI279j67zZsGzo2xOQ+ILDxKCs5vx
WyUMuR7tVs4jH68XJ8LU20u9fAjeHgl5XbXmROohJD71mIwLMpfRLg4NxwovOFAOfXzB91ZA5qSc
Q9HJUqG++UozWuWWlWrqYYgbN5+/9tLx4wu8twC+vMCbz46QUE5jgaoemn4hWuuD5AGc+c27+N1F
3qyyzuiYMy4D9eD0Z3O1a80b1fzy8ft4b0t6+T7eLI8TezVjO0M9oBT3xpT2t3nlxBdOOH5/L/+/
67p99FgXTfHc/m/xmx+LcqqjIGz/z+v/bL7/N/w9IZx79R/4hBFhX3ZP9XT11HQpP/r9gRD/8n/6
l3/O4G/w/v73Pw/fcCstoqato8dW5TRzusKv+bwQvn18PNoVDxXuxPd/9OfhSP7DUSwEx6Kt83q0
z2jLAI1BQccZ9jte7sfhCNQpDSDVosqSVbKXeLB+HY6Ahv/5y07dox+fxPH7k8mH+LdLBSSvV4uF
EIPL9DpNE/+QJnSFb7YxjH8ZBIapPkwQDtAFqZ3CtpTDq96alAeHSGcpDK3wwjTI85hN47JCB0Oh
JV9pvn6V1N1TwTTfHcdwizf+LLSUFTDQc9LFPamfd2lOvlKukPKOUrDXR+SA2rkMXsrVuuyCFtnK
JyC9CaVVMUmXZhzeWlP+2RhbD/z4k81khbYKOKp8m3RklUG4oc2pbQ07/FRP8MR0+XJK0otuihYE
4VyMVk8QsTmS9zlT+CgefNVbo0LOyjtapvXw1YnavU8jn9z4L1qQrvu23eW+uYKEc9br1YUfhhdO
wXwA2F0Qlhcd9nitqPb1qH6GaLsJFXKapsmVkuIQK/EFp7Il4ROLqpkXodzfO1FzDMNuHwyT1zO1
0QfCVVIT6jL9aOe5qR0hUh86L+y63ezYD6D+XRiPn+O430qNsyCE4SoMZlq18SIrSUMoa7IlAMv5
Y3QIDGuDRH+hxOat0WSbeWquMrv9mqvjhWTnF/Srznsz28Av2JH1s+kqHOtB+WzF5QWHmOUMe0sL
9CsrtJBUwgRorZzOezrsk86SSGMgltVPHrRCv3JK0wvRcrhsW4dOas8DNVvMQb+tcYk3lnQVO+NW
kf1PupBGOxqZi5HiVmG09JkWMp6RK2hh1T6yUxAkQzVeplPnL4rIfLB6ArHLaiTVwei8YCw/qyqz
nWwYv0KJc0QGwv9l7zx2JEe2bPsr7wdYoBZTkq5VaDUhUlJrza/vZVE3q6OisiPQuD14gzspoJDI
pDudNDt2zt5rh3K9+jOMI2jtJtnSE4x2Xdk0yUVfFjTQiW4W2gabJTFFIND8YWp3hlTKm7LuM3GY
vEnLrtoXgBq8tkZmoBDteJqMZfCHGc16NqHmc2jpoZlbkhtVUekjQuJA/LxNCqSUgHWgF8ToWAqY
gR6JXUAOKguxCVB8r7dGfRsMaMFbc76N9bn2EWAhjdDMdL30OK0poxgQhu293XQovE0KtiQDc2rP
lb8Q2mEA7XYk9U4C9F7amo9W9rKoxlpv0jOq+dEXYRKIX37Ei36i3f8o0eRMTk3fwZaZdUaBFVo6
zQxXcV5eq2X+AMYm9quh7dwAbKmHpA+Pe6V/DUPIMHIjKPBtDb9ed87MPQHsTMl3R8Iihr0794YB
HkGq2j/CynkpZvUej9EPPj+Du1JuUbtrma9VkGSYOlQ+kWmRS2hG7A6VgjKk8TU7vgxRvrfz8UGf
5p+9JRNDZO/1MorXk9Sv2BAe4kVdOXlWn2caQ+t8YMSo9pJ5KrPglogpLHd4D1ZqNID70WFO4mV6
Gumd+m2df5dKu3TlCWC/xUB+naTTLpCyTSITW+wsA1PvCN1jN11i2frKzOPrpA9Ebk05z61lbjUT
9IQVZdvQbiQm9SrCd2YqtaZuglJ96mpGiSxTsN+NXRz2LUV0/DSHiG8dSf8WB3UOZydxQdF9lfrG
b1X6rlMg+3URPGohYMcZMsSi9rKnQzXWekn18NeAGW6qu4hQcF9OsE9PJr/7FARPGhNZ0uEDi+dL
W9ephGzaGXlF43TGcsJrCbyIMBNN+5nLKFeHIBQqXUryNAb1m9e7OF5MPtuwR114mXKGafPSM5PT
dmMkoxscHgpZ3nejvbiAamHSSDPZJ/J0TCP5dgy7g1FEd8psQS5KTL+AzOLa+qj55iQd495W6Jyn
90TNMXzKK8vPrCrrb6MoLdbN2IaRJ5XgPgf0wZ6EfXankxjGvBKEn0xmnbwgB5gL0rmKNi9J3FNR
fM/XleCIWcqUXcfEL/xZj/5fFyObH6Vwc7V/Lz7+v65FqN8+rkWOfdz+v8vXuK1+16zhr/+qR14z
V1XsAA56J8cWzYpf0yfqEY2ZFJUHHHWhtXnbZabDTPuGP7CZFGNB+6se0f+wqV5wJQhj5qtd4V0B
8lFB8vcCX5QjRCzzH9JIZIVp1rsDRaMiI4MNEF5CJGqtCnfoM0aDbop/482hhTA/G748nWxKHyhn
Qmz09hyWK6XsVNk8ncPU2hVR76wnVU2atZVPp0ljno7pnPRgnl9yhKUKl4zS2cat2lUxHNDOMU+E
Yjgtfd2gPvWNZNeIpTWzPglk/LTSXzOLZcxeC0poeVVWo1xtUyBRq4ZyZTOJpGNyh1RSIU1lw/vF
TicSkTWzQkgxmFeJSEqG8gcDSqQnx1KIFShsykTaFK8By0WzRD9zOtZrTUF2mHg2IowVYxtdTUhX
5f9WSqXnELf1XNZuycMgvp79tr7umDqD+VvWCwGDrjRFT1qlHKIpalw5YwVKHaQxQ70ZII6Ovam4
Vied+2h4MFLtrnba2yZdjmExPJhGXtBWIYkujfVj3egr4pSOEXZTBVfwDhl07IeTeRiZvVFj2uDV
SlT0NP1l9oylnPdk2z9XSQIwJ7NMVy7rSxObyZZ9/thP8tfITOdDVIHL0snadO1MQQxBJszsEN5c
mogaOHfSY9JyZIeTsUGftRzquToMgbSZ8hQqZxxu8sxofOyCXrhUq3qMT/koGkaaDhA0qjbL0uyC
Jr6JjJp9pCCdBMgSBY4g47bKrmgnclKi/LZsukOkMTWXQBx9m4eU/bAJR4988fVU8ahOSryC1cs4
zi4AiwS7qapPo050rgLmx02RFDLBHcBsJcatoc+lq016v20LBNhF4CCFCnQU8HN3qs1BQhja7IZ0
mjdlJv/Qzf470k7SwDIzP2gODmI3So34uirs3FcmPTY8Be09pxBp76SJsmlt+VsqRbvFlM6dYt13
kbTJImKIbdTuQWp7vaYc8ThcDwWC8gRJVhOsWkXycnNMt2OmbuyxU4GhceONwtq28vCoCEF+ZYQ+
8YsvTHJOpdxpbtxMezqsVwv/6KAUpxwZ/qITX1ZJX9RW+SFJ067Ul6MWSFvHepiCl9Je9lgb7bUB
B6+xjPsaZ5DYrAeqmb6zu4Oep0dDna/CIFE8TU3RbKTOM8aAZw2vDVNf5ejoReiN+gVeJbC2yIsW
ZCIGWTDAee/sqb3X04EARxoSRgQScxAGt5iiPR/iQ0f7hTMZOt1Beaik6M6283ui4+A4j2tRKxOK
s68daT+R3kl8q7mvE2eTmRlbq4UhsFTIQ+/17kYfkz3f72Ak8gu7PWI8jcavUzbRWtUqbIn6lG4n
KVefy9G2nlq7jBvMkXMABjhIb6bAgvs2ZQoCsgDSWdxFfi2llGwi1BV3PQYLlYy6kdfiOFRGfO71
Be9o1gzEK/SVKd4wxDx4JR1REtaB/XUhOhnQsPkgUZ2shtbkOFPhPcoIROh0p+VhJoJzmPvsMNuC
v60aN50M/kKrx9oPh8p2FSU5DOV8m1fp6MLqqyjwWvwdjv5kmrcJv7xf99LiW1Nb7G1ONqeANLbV
tLDTp2b5VQeagG1mjnjlHH4j406GhsV9nHHIzuExyZUFnlhwnXbl135yvAS1oJ1gGgMYeCvct5pW
vbR9yqAu2Q5J9xMow4Ww+mQdBrCBMLg8q0m/Zsr9wpHR7e1WdXWlFqNGjO5dS9JTYs3HNjD8eY5J
ALBWSa1+z81u4syBmKYYngd0dYbeVURA9C9tp6+rhp85HYm8th6Von0weg6hSpm7zpTcTtl8LJxx
29UE1klj8hhG8y4eeUUn0EhBvglz2t1yZt503XIxWvN5ioxzmeierQ+P49LgWyv3sbUM60HndDPJ
jcevsSrM9GWpBbMlMTe0StEOZhxVOzvehe0Urcg0Im/WMG8RTnMHMyygYWHdYbradxr0VtBPgNwj
Tmy0EyXseBSE3bZMwkcDqperyc3WEEkd+owMbDppBd8+j6yj3VvbJg33Smc8O9WAWqH0Kju94Gff
pjnCKETicJXTLxK5OJCut32GFRTC4he5S/fcaz9eJrw3qrPX+/m6rWQ+po6xWJa2jWG+BHK1Gzjh
691wS2CIj9ZkWbfoIt08jq5kffpJEJUh8M0vsg6dXV3iEykmmzqo7/KiQyxVlFtwnPUWAtx8VBTQ
36p67Jv4xSQAWW44GKhq2a2LXFbcUtfHK1mF+Az6XVuldvNUyFG4lmT7QrYVIVVFXR9axSK+KZry
NcLUb3GGyw6EjfQ0VibPC6Pe1YwEy9X0OPsOMNTyVaJfTH+c1dOIffvnm/rsX32YD2XnDhoeR0Vf
Q2+Hbo7oyryZGCmpoeR5EUjnJLnHspg6X3Vj8+9dQlRaby4x8xSbac8l5BpjAyf46gLw5uNrvOsy
UkmJr2EKMygpGIb27muoaj/noxOHF4LvWRyZsB2n6Q7a58eXeccaeb2MUGAzPTFVoX/4+1cJy2TW
rHQIL31OjibnzlblPazve/1qHBTXbDn4GH+Syf5zlBAdvg+PEhAv3C/N1y/Nl382NsVffnOQgASl
IxdDhP+nJuWvg4SMjI2oJhPXEgBsQcX+1dg0/uB1RZtPvpJNd1O4h381NrU/hPAMwa9GGxId2/8K
c/GPgwTSf0E/5rFhVmC+fzS1SJHGjtrgHMEmbc/T9PzmtvzmDdbfzT44qmAw0DWas5DXHKIT3x1V
+qDVu8CY+nO/GCLr7idzv3MWJDdG0/3ENEh2chP7uY7aVZGKnWo526ZOsO1VRCBKJiDXUdsUVrOV
Wvku6aO13lbfpQx7jOocOedPXtuxBS9RdlEGxUiP2tDV2iWEgovdOiZcgJvoGVGdM8Eq54XkCdnY
TWKxIteNeGexfiHJs3xdLGq1mpH6LhY6HVIyY2oWv0Qsg06qf+vFwkilGNK6iOoDyfKlGyr2xaos
aZWxoiK60VZIhuj5iOU2mUYF1jBLsCIW47kpDgQvvdD0pXID6SmW7VEs4BkreSGW9Ia1PWCN11jr
7SjUiJktXiSxDSjsB3kqXTqxQbT5Au8DInBYdbcWk0aJvUSrnZeUvaWo+n0nNhuDXWdK7T0eT8bM
S+MjPN/XlvUlUIYReyniYeK8+zT+0omtrBWCcva2LEwuEnsdLAQMnuozvF2CBaxtXhtHXWyOjTqc
MogZJrtmU9VbECEW+4vzkIiNdUmzq0ZstS17bsfeS4NPKIuTvS7pd53YnlWxUWuLfhuLrTsSm3jP
bj6Lbd0QG3zATi+LLb9k7++pAUZqAX4L4m8LjnO0tfZATT1o0Y86pOWROsKknmipKzhn3USi0Oip
OCx9OJG5vSsxQoRT8hgNNOZyapRsGI+Rmt2aonhB8feoUs0oVDVm0K9Lqhx7MdbS1LyQwkkaceds
JK19Lvny6pxP2FOX7zjlVxiTPVzYvpZOx2pk9tzXsG71GWdy91pwgewNqcB4C9bY+J7DQFA2iClb
S33PY1P/nKnebMzAOtVc38jPEtVda0EsSan3yEzzZCP7uog6UBSEEZVhmgjkpigWdcm6i6ge6XBS
Rsb4X+UczbeCjEsSxaa9WAb54RSgcWwuxIQqg0+ZlFCj9qJYldQGcZcoYJdkvJWpaKWe0lYVRa5R
YwLk8HsziQK4F6XwEMrC+a61HKEplFU9DlYjtXPYUUTHVNOyKKsdUWA3otSOXqvu4bUCz1+r8XyW
aJQn8RCfJ1Gu15WJVJZb4WppFXoE9Yiyvox8PbII1+gledUtWLILcRAobZN4wryXD5UpsMizioqi
OXQ0Miu9os+AVNZVNOGFU+t2yzkyWYVxfyQWgAjWtCo2CrnIpEk6q2VSFbfXs2pVdnWJUSXOLhaC
XMDBUnu9DALLHVTfjGV+aALti5XWW9a3UxIpuecobNxzJh0D+uCiWw7f2zQmryOX7rY0ekl47oPs
sQd2PA5wXjBMXXSgsKwsXpPoPojP3i+r4mDVFguiwoe2xuuiJ20AOx9DlHkf1sEWc8AqAZ9SUS3g
0dlERnSSM/kRpBhNUyGECLJNMaV4SQMDkX7njXZgIjWAZhzosfW1GumsAooAgK7XY36XKjlBcLG2
0eAgeNpS2whZF84PcdycFjs9ayr9F6e9VmqzJQWBUxf4XBixhs+St1NJO1qFGpqKbB7uafjc5Wru
9XjZM78Fxryaxy53WHP6/Sib5UtBfC3rr/SzbiPZn3scn1xO95uKoC7I3g1q3NQaOLpEwwZ67rxh
6Y8eg5orqH12V+Qahn12z32Pn3GfJeG5gLboZYi/sW2gbtNL686oSwodPRF8HrXFMKEHAXi1+s4M
5ju7MJanJSjIdOjLdm2Qw+Ra47TuONRtKnkoNuVcl2Q1AQFD/98/NTEWy8me48XL4jFiV4q6rc70
wk1HbI+E2/hzXj6bQ7UriOyZrBkTfXmRZ2uf1vO9HCWrgeBUF7r7fZ+pd3ZfO4dpnoZdKSWNXwbZ
7FV9AhBYlp81dFg+7Y36qTcrxa9KLGFpxINuAUV3pUB7Uienuw1UY1rbPZq9pJfn1cfb87sR+6uv
E+Ir+jGLfA8k838vGcGyY44Ok+LcCfLUtOwMc7wem3b98WXeC6b+dR1SRgws0rz274uAzlryNIyK
c55lJwgl96xKVzY8dJZLNN6zww8wZ9uBpIHMTretGmEcVkl0Kg6sVEeUL25CZhPsixuzlldaRPCW
g8onDH4Q8kgDnVdAX+yzKYeUa3/Vdb8pYH57h7ALWLD0DDiBTMDfng+MvC/jzkmL84gNOpwhvue4
0z7R4Diil/r3Xqv150kHmwMwCuvd78AxvprztB/OFamALhCTHf0TnR5gzb4BvlhQtJ+kKiuvAWTS
25N3oz0iYZorFipNvl6SHAT20l+jSnNuC3alvhzOkkxXUSdV2jMgYgiL5TmW4v0UMB0ZVd4bM+dA
MjvGcmMo2Ze0yzzAEvFmGekytIq5iohbXKWd9k1CMYsrHD66VpuYrB2g8jVWs6hJXbYiSpvI3GGC
/oEr7ctkYaozSH2crOw0L9bgWtYsbWVlTE7Yh3N3mfqIuokpXOQkFlSO8CHolfyuHumbOUoIKb8C
C0Ia1tZUxtVQssUpQKTmxCI+WFYvhmwV/rQgmFK07BjIX3p93RvWjnXx2ZYybGSjsp0T/TkDXY63
D7NZBZBFo0206JQeE6+Zb4VMyuk7bZuOBIJcmfZozL6ksRp9mzNjI5sMsqwsOqklmi+trdexBowF
OMpNbprZ2cE9pZjLdKit9hMFFBPS3zwPvJDCcy2EB4KB8PapwzBfFvxZd7YU9YvmtEzmyPg+m4RI
EsYbvYQtohuoLJ5iTr4dZ43LinriruCqi1LMDGF76qTFxaZ6Mkr7SdOLaN3mRr3ue1nfoXgh4i2m
GTrYg72SSz3fqmzq/qjEtc/Yj3qEhUjOywKXaX0LrmvylKil+Tcy8MNwITJe12a+IGcxvzhCPTMo
peU1uXpvqjO184yptlN8jGgIyEgEYEpnPuGG3Y2B+h1ccgoUnWXAybZmMd0FTnK0hsarS+0WDy9P
CPa4Wb01huGUJtFtHRs3ueVszLl7IkZUd6kb5ZVZ99SCQOfanhmwLcyTWiL5MoYYH+/nF4lnwqsc
7VnRpCclGmq/7hDdRTDzh4UkNmkqSb1oNjKoBacYcPczuo4GX0+Z1dn2eLDILx2VASFcViE77+40
IeO2p12LmwVX2rcaq0lBhrcx8zn7wk+H9FJG09EqzPVI4HVkxYkXFwSpOvF1WtE0n+1lVbYEQ2QB
sgUKmtIMOZfwMg6Scz3W3c/YkgJ8kIxH+2TddX0KpTjy1bDzFMU8mq22gfjMr0RO9QqiHL1DKtS0
j46SEqxSZXwsCYUOpfjKiAjWjoj7TMmRZxcnTBYPJ9koFYFfACTICNR9RWHXzIJx3bG9F01eET1Y
J36WSptktA8LtHHLwQMwKvTxW5lFdyHfNkFsYoz2FTiILYR8nKr1EaQ+VW+XSZesEhLIzNrr4Xgg
27QGAyjiuysEoKOMH6/C3thySshMsPUg1noL1tR4ZRorKx2pY875tDbndYl0wBoeK1liWiufkNY0
qynQj0k0tu4QBMGhVwfLa0m1JiYgKDbjsPgVdcO2nGHSzSb9u4EqxCqBMZAVvBqCRvlka/vkTX1V
V77pH6mRM2O4Tfuzyb4/tCdSJ7xpEF3WS9qcIF58IooTTZz3O8WblUH45d6uDGoUFZwuWBnK8odi
fR+mm8E5FuETMotPNr5/tpOQo+uGroIOgGX2nic8th0kDnkgK1KZw1UVT60XB+qd0YblLipRpabT
cKgqqBOlIisnu7YN10xKicME5uGRf5cIR+kn/vlrYpeZbGn9gxSXl1K2bjPKN049XteqtxNNXL/o
wnXexS9Foj9KUVbdhD2jCQMczyY3ejE7cCksVrMiE+UYBJui06xHOqu31QKXXzP2vdbtYk09LOG8
MyrnMqYQ/dm2LQmak1rwMkn4xG1vqpTHvGpABga7sSINPQMd0hn5l0WeDS8bw+d6cppHVUTdq60W
fnJX/95vwbNEwNPbmypahW8el9Rk1tUE9nS2p5do+TrbnyQFfPbvv9s4ZCmjRg7TGVTbbZVAodLu
P3ksfvP8vfkCr1PjN18AaWkqp2o4nw31KibQk9skR/OfAoX/UW/3z4apuEs2Y3JGu0L79/e7NFkt
zWSdb+Gontp968acmuQ+nqxPfg3178+4aE4ZGr4vha0WZxiV6d8vNCcx5t+lUs+UMd/Y1Py7bB34
0gojs/foFu7jzvSG49eb2IseptUXut9feaPbrbb7+K6qogX8wWv9+kHf3FZniJ3KCVlGujW8Sw/z
/W2/ya/B5q0EsGetbLjPa8Vj/uxGKwf50ko/F98+/hTG7z7Fmx/XeNdBzojTsNWG+/407dSV5XZr
58pyLy0yNX/zaHhHkno2zjlaT9vi1tjeBT70ui3rnrtsSriaPq0z3/GlY78tNu2FRBYiNvyH0u3P
sjdvjJ2zKw/jtrnP17cff/R36KV/vljvKmhJbeOsIqXpbLjMX9ftj2pd3Sl+7SV+4Ed+vCrW+b7c
XH07rvodFN3JS/aIlPbJGXu3F6zgHn0PvIePP9Wru+H9z/rmhr7n5sSIdxrL5FNFO8eNvGWbb4K7
gqBYlEsuA1u38ZhUbuxzvVVfaKStPr6+eHz/efn/fo/erTYsNdLcVkg45KVcWeN4WEhCG3q5/GRT
EqvKR9d5t+rYsa0Nw5LNZ2pqdxi/ydN2NL/O4FTkjlbU+uNv9fs17q9v9f4wKTH70ow66c8Ykzn5
3VTh9b93gXdnPm2yM9PMOUClxkFN6AM6lv/xFT75YV7lxm9edymv7MKaedHK6tySp1ypkP7sT36V
z+7Tu8WtVYhKHqykO0/iVwHQzJDW+/e+x7sHrAeB0aNbm8/jMHmxeYYL6gFV//ginzxd1rtVyQxC
aaY5x24wmZ7uFKs06y6a1ntEIpO2op4HmFgfX/K3v4/xKkgH9gM+7u/7Alx6Lajirj/r+c8mWada
RJNv8/E1fvvzvLnGu5cmg2om1ZE+nUEv0r+/zvNPugqfXeDdkrik+aQlMLnPMos20/9Uyz65Ta/7
40cvvthQ3jzHUczQJ8h4jjkbuLUX7gmtO3FEwCnkRSsmkW5++PiuiczND9ca8a3fXBJ7L/wcNWKP
eqIxXLCqnkKu7Y5f0OrsBvcKoB5/4Bqr3FNc+1pyb7qV2NWvnusrbc+pHbLHCt7ztvCizWcf77cb
+dvS5f2TEzejrAS8dMpFbOSSCyRB3xWK56Yb3X8s3D2QusNPhFu629zPBySqn6xeQAs/vkPvfvdB
as2odmZqCX/w4ZoTv2i6ziHzb5yzedQ2vf+srgO3oGO7Rl+++Tzw5LOP8AoKe/MjSVAz9WKsujPw
THfy6Wwm3401ILtD/2PaVqv8aG2kjfQzfNa8aZNegGn++OQ5YeT60XNivXtO0kHL9bbg0WzW07p2
FTcWVd0u9e6GHYh+BNnucu5y91HG0Zavq4111buN36+iHZDdl+yTlfL1YPaPV+W/X3dDfN43t8SW
HGZDBUtKvdI35oYUuGmNvvAYHxT3G/GFa4jnu2pLU+84edb9Ch8jP1G3Sde3sS+KhH8VB/8Z3Ws8
8H+1eP+BFheoidMX4K//HNuLv/hrbI9ZWyY/xTQx+wj+DH/019hehSEO68ogaoKW9lv9r/UHJAmV
qb3wu0Ic5W/9Gttbf+DwZl6BBOT/xKxNU9BGN2AhLlDfMybod/V1bs7jRS6vGpIa6Yz6b27K1Z8P
5lvpDZ/07euDWRv9MHYng2/I3F5/tztBy0q13mJI2eoJmqwHSb44xnWrb5UANckZSPfH10O48MkV
xSd684Kok93EzN37S1JxVrdnQdue21LN3TIsW6YSpb0fOqOi02IEbmuuzQR8XR3Qzl51eYd8LSzM
lwnv+c7UImYCdUV7qy01V7Ojo1FC8LPV1Ksa+fsgpT+dSXoSATClQrqfVeqke4bMpAp6v4zsI3vV
MPUnwS0Otzp7f0vG59rgDAkoNC43wTzRGp3ixLWaXsNjiTiQtuOtNNpMeOIbG48XZ8/SteLhKNUB
v1ISk1doQ+uAP63PdLMZtQQBnkOiZrdlqVwNERovOqSF3KMRTMJD6TCl1KT7BraaOxQvw6JdTVa0
HaylXSldu4k7kHSVvY9iY3IjsxzXUtW0myCaT/TUllurAwMC+QPuxW0Jpmxr4rhOSLDY1mYkddfL
qwW7z5upvGQ4izuU4KRHLHA7GKX7yLXrr6lsH02Thp2eHysr3k3pCN42YLiQnufFfFQyB6ocTAkX
cOW6IUeVKJXvGWS91Wjop6nS94Gq+UNaHbtgXPX9vJu1+Epeaq8IkMhNSCDm6djbTel3Sy57oTEe
2kF+rHsVrXApWILLvZHR7A/ymSDnvrgq0m7T2+M5XdK9TBaLOzFIRj0Mv7Ce7MKFsyszhc9WbWLd
191Mbpkkh2s1r2DR92MHOEwFRglH/pjNJaMGWz1kOSaf8aJH9k3bN/T2I4Kgo4ijd5Xvgyy+6gvp
dhwK5iz8LKVgi8WOa+XddyvqF0YBybUajiunz3uOvYqPrA1f93zd9SUdA0gE5qhvxmZYy+TWd6jp
ckX2y7K8XQr9Kg/q2hsnAGpdlg430xzdQI3aNXDw7cp+IqzeY6rS3NEKxUEcNz8LbeBpcqCiMaFd
8Kzrso66efghj+Gh6E2/1pXEYwXbqbmI+dBiNPojTO/wKoqHk24k29rIN5NsrDKar/0UHNqWwGmD
UfnSAQ+WzqjafHWUdiwU17Md4paK8X1perCuHe1Bb1pP5Q2BtEhkBiml8zYdDXKLs2JdYQtytVna
p+1yB/OE+O6sw0tV3iYDfMcEMVof4HzubfWL0ydfEss+lXWGMiIZU29sm5nx05h7RjDY29dl5j+b
nhCPfbjpoVfzst+r1firf217yh/4XRRQSKJUQSf+t20PqRjYNM1AyvaavPRLrQaW2yaJkB1PfyXT
UvT+2vZMbC8ifdPEJwMZiUnW/8b28k81GbYaoG82YDiDqwmGyttNwlJCJcsaoyQ6FEGB2k0i7ELY
xSCquuoUKsyX0nWmEfmcF2qFczF6zh1rj6J9bTsdRgGIjn29SwzpskhgGxEeeBnpLUfCfHGqxs3D
LOtPtlPJvt0ihbelbjXM6Z3ZBJcExg9mvpDRW5lY11MIiZ6Q3qSSEX+ZMq4XEVKjkFaz8JL5WGOH
TUSEu5caLEqF3EVeTM7NkiC7UcLZV0jAWYISMbwIxelFPI5ETs6E99edZ/wqJvxGPxJxOsMg3w8i
XyeZV6MI3OkcncHQawgPaTwm39OrREBPLaJ6oDW+OgABfBTJNyfGoTmLaJ8+RxmekfbDmhPsMhEA
hK95VRaSvJGZIB4MQxqPQQzPPyAhydOb5D6uc1TTWUfvEV1YCSRSZAoxWdTXndnf4ZJBk5HW98KN
VNXKSJ9+POoT6R1aHQjnXtH7hcT8bNRl0pkb7mla96eqSgj8nMtsjdxmUzXG3ijUhzwZ8N8LMMkI
EmNhimtpNdPlNP4+YEsNi+W8qESC95auQWpsnrJO8oK+7AW6/NhHdoK0AsQ5nVRPWnBHlyJsqi1R
T1ddovmZau6SzrxOg5l51Ej2ubqEq1rP7fUold9qVUVWKLdENcCrraVNKefHPI8vlCUHTUNxxpni
UA88M0HfXtWx2bl2yq2R8QqsdCHMw3DRJv2mrrWTZUT4p51S8uohKbepwnywkjZNIoGAKNvTQiSW
azS4HXrbvEEFfcJvVa6amV6KnusMDVMyjrVyid1M72BFpLLlZiMWlLAFDzVF6yEpTqEevMw1IeSZ
ZG9CXGG+0ckPel2/JBr54kqW+HPdmUyJw+sQT4gyCXvyhHfW+d6YY4UNp+UetuYurDEmY10/dn17
iRncStdlaWXLj3nKiEzHHuqk1QNg3RpQMaHewnBboFzYJ53zXKbyTWc03+1q9poamPkSrqnH/Kod
iU6T1o2sHsosOsdluZ+S9kyO9tVQoPdinN2zH/fjzgyMn1hxeiqxUdM3cc/wD9rpsNyq5nIKayob
BVnOOhTVzqiZXFffYKndjKIeQooHvVa7aoznVtRLee/cF+zUCIcOjdpQfHUGhk/NDavlql9UXMn4
Q2ejv2axYzrd+apqoLuJaSYFFGxa2x1tUcGleG1KSjpLsbxgDm+XCmWcKaq+SNR/atPxouRWsXFC
hQJI1IkaBSNCinBbixpSFdVkKepKqefJKSps1YWoOnPKT5sy1NKLnyVlaS7qU0D5D0uBBkJJBdKV
GtYQ1azcBJaLPf0rUqDg6KTRKZ5slglZvsrLnJfBqpULiNQf2mJNK3kZf/QtAoDcnG7gQiMOLYYX
tI7rWpef5tg62Vm9RleAxomKGQNGqwNmDR8LsGN+OrKH2zNW2tKXq+bKiYldM5P1IsoYow7OCQEh
fmym27KYnb0lGfc2lnWujDTN0e8Ucv/Qq5VgdtFtrKopmVa1pJ4mXoMrq3RuKEi3U6bHXpExKrUy
1VWrhBN6qcGctDpUsBb+jrTVPSeuv0Q1aTXdzAzXzLIVaLefofMtJoyl7bSblHvCPqB4akiiW5fZ
V3mnkkYv8SsOCAUwDjc0P8fYG4dkE9UoVeMk42TRSd9j/jnbJtfDEAHrRniOEjWFuBYPB11SihU/
6Lw1EHxMBUPGvIr8sIwVv7eLrTMhn6NmDXdTSUCLBGCNeB2Mn8gErBe5XeIdyzH54riCQ+Lkpai+
VeNgA9GkgZdg9iQSoed0wvYbUjZyixjrN4YFy66u6Wch0EEqTRL8dNTlNvEkrd70BYFraXXGa5Tt
KmW8hN10I8/lCqnYjF3DOpS1s5UQdCMKnfv12Ks/UgfbOnFn1/hZktWSAa/8Tz3F0ZdzL121/7me
uusppehIvYehiL/1q5QirATPikwiCDZiznpUWb86CJiLOSniKyYrhKBK0eP8VUqJEEsR4CoLXBon
fP7oVyll/EHsJeI5m5YEg1Eqvv9i77yaGzfWaPuLMNXIwCsBZlKk0ii8oDQaCTk34q+/Czq2j+dc
X9/yu19crpkhFUh2f2Hvtf9BKaU5vw7ITMEXdlWDrGX+i81ZLDPwP/XbuHKJUszL7mbOKEFGHF6Q
Qphzp5J4ph4HaZPh7QpibyqDc9w4g2+qAwzror+ird/bbsBw08Ri4iKsIcPpGHXJebKxQJU0wkKk
P3vRp7jfe1Q1CuV8MGhnWNtoI4QVEnhZXYpR4PuyXgkAeXZroO5O5BqbYHH8u8q8yQxFwY0aAT+A
RACgGlN/lXynmHqtpvKxj3C2lrJFA2dZRHXJfTEWT9JVnoICTyxmHtqec59GJ1nGr23p5FAR7Wuj
m+8Z5MZ1zg9GZxJbW1xSDIbLl3xCYYnVauZpp9SrswFr1fA4aQgGQjlsDIPeSEsIVTOGOFulivOz
jqAlsC86tTJ7GIqZKV5ImnTq3BE29pNL9sptBYOsRnguwkSug2G4car+mVim90CWL0ENRaks3mHz
0RGlTbjuClJgWju/QpjYLfkIRhK+kobbr6vMQaNlpdlqqMr3QXXPEIOln080vtVXhqWRu5u4RklF
dX+SLXJ/I0AekvlzXDWbiQmBaIZD6Lq7xdM4zT0c+eQD3taDjg0YxMdzHs4gGGy+SV4kd4GVD4NN
oLRIagrs2rq1ULlE7viZJW7pY0akSAqE1zUJQQ5CezJC886QU0DBkT4YofbZaVa/n4ifWWmIgzcQ
N59zBU9vGWHwMK1NJ3FokrOZbJHVvTCIIVKz6m60yBQwHOwM7R9JccJQVtacboSN2hDL+raWEeYL
st1XXcWrxqmP1Nq04GHE+qrGOGvFLaOQtjrGQV4fFv0pVhPk5+Yw39kI/IbC3HS1URNMETg8E1wI
IUdWBnOL/gnDOlcRXCtn5k08tbyGuVaF66GZ73Gb81ULB6dlvwlEdz87+iEeuK9tDUB7WwehH2bc
S3h132U5PjsAnFe2Vf0QagnKvQy8ZhipYUTMRKZRvFKJdoLQOl+x6fSFKBG6CZK74JHhWHd3Mhqm
ld47H3lSn5yxJKmsTao1Kvu9FU6Tr3V9sQ5zMvlqk2kLxQ7vxnxl6fJH27mVJxqVELaZwicn3fNo
FCnySSx34T7T3Ej303R40hyU5Vjv2yj+zq8hkBdN2gw0rNjUNxbhYcWDjQSu9JGbzfoKjt8iP3Ry
+6oEUWxdpxrTol6P4Qvy5XWb8RZaGZER3FQoyam5icoaxpUww11ku+F9VIvFv22OtxjqCfKoY30N
lUhHOkqCgj86VlvvO7KUGC7FOA09gAxZ7rcTiX9DRmFqjfVWJLr2nA5CxOcM1wvnTBap/mjZ7yLs
usRLralh9zAEpTtj6DbMeg0Z3g4fhLSz9kUL+hBxgD5rWIpFbgWv2MUj4yy0JldWBKh11b/X5X8g
qcbfXpfM3JfxQ9PN//eVuTzy9yvzi/QFzwJ8OwMDLrv/XpnM43US33mVMW5wA/Ko369MG6wqAZtI
qxgJLNq4/16ZTB+Wq9yhNhdY09R/hHZGtcqV+N8dDs8EO16HZWkxAgH5pf/PlcmNh1rTcZaLKy6h
uVsNXqhM8zPunbjRnTV8DBXbZYORhJNrNZtyX5sqkcuCKXaeD4chkzp5N6jtpeh2YRmuES/iH2oY
U5cFgs8lJiGxkx9D0BB72WOI6ot8wfXwCbehGyCnmNwrbrZHs3Eahsk6JxqwCcQEjwCMSk/ET0Gi
P9C1FhdbDThcRpryLia9SoBfOOQZJguDaJPUdW9pXscVzJkPVWm6TUi81kNBEclS5JhU47QRY7FW
2vGOvv4yLnUn8IubnkIUisXWXCrTnhI1t5t78hOZNE/luV2q2FDq21S4ESmB7fu0VLrE9fRre6l+
dcpgIjzvDXfaREt97BrNqm2aeN9TOqtqZDMJHVjqLzkjM5uxr1J7JLhmKb5HlK5+1iAzMue74KtA
X0p1eynas3gmUoU63q3ig7sU9gkV/kylnywlf7wU/1Tw22FpB+qlMVCWFkFdmoWO0K2O7kFf2giU
y/hMFps8HQYwq7uy/anRd9g8Xbc0IvHSkkRq+xZ1heG1S7ti0LckSwMD00CFN0VpsjQ309LmWPQ7
Dn0PqJTyWufquV5aIrE0R/HSJrE10rZA7R+MpYVKe9d36KmqpblidADJjHbLou8SSwPmMOAK6Mja
Ul452XyZEYRBx1YurZtqxk/u0swVS1sXLA2eS6c30/FN9fQM/mpDR/1qLC1hrvd39P7MrukW+coj
iS/ZR780ksXSUtbqhIORJjOg23SXtrPXmx/q0oji29SAP7FviZTcXtc2OO31VLQ1nSf2G/YzUJKq
m7BX7EO1bG/Gr0WO/bXU0SvIq2BnmBU4w6E3ddJC7U1TjbsFXz2Z+uDrQfPiGgNR01PB+qXiSyDu
BuS1awZEH53Jr9gJg62SR/OjXpXqytDA3OmVfe/U1lGq00cW1amPg/wuC6LwaM39es7J4IyAwrkJ
GhLLmBcF/c9krlyIafZPkJnEvXH7w2x3W79U21vMYfyKm3PAEsSHr1AdSpsZEAptEqVBuZAewDvc
6VbqOPGIsSdFYQgn5NHBZ1YFV0xOnW/kUkD86krP6qCLBnN2rLVCrGdh1buww5eHLc8OisOQaODH
MVwmpNysLEvKU2QoWFQB+H4IEaQPpTAqrIsOPAc1izCf/tvMfTVzBrqU/3czdx+9tfLtL24mHvWn
m0lXCb8DN2oK9ytR+vdmTtO/YWzEv8Pf/Nax/XYzGeo31UE4zX0FSNT5IkX91swZgksLP9F/3N3/
lE9pfsnMf7mZaBp5Fm5IExwm0Kpfmzlt+eJVVmdXwbm1Mg1cGqoxfIdPFG5lrVyqiAUlU4lzmmkj
57SzoyGpcIhC8OtHBxfVwpZwH9g0ZR6xuY4/6W61akNObkffOVm3sWSwJoRoNzCBzHMcHQOuaETZ
L60pSQijddTx8bYjAxubRlB2H3YSrQeIh1LBmjqpFcee8W7BdgonN8ZSU9Idxnm3S6pm17jusQV1
U4L2m7VkreDcWalmf7LgJdtsnAcN09fUGDEMZ+0tgx8OG+sZlKS5sYOgg9uEhbDBv+S5UC+JQGoP
4DH7jRNUR6mB1dGTdRol9yRWV97IkHrdV+NtQZ77qnWqzWAt8bh8c0fdhsk5OwMfzEItVpxvF1fP
fhI0Vm0nDd9NHFLpK1Pw0GQlH/Nu9EUxKBwmyTk1CNyMQy0lp6vKvKiyQUaP5YSfw1nTqx0iUwJP
GrJHZqXKIa8LpknlbdREiI8d96BiPV3h+zm7hfZQMxhlw3HLmllZdwvTBowEwDjnU1UWxpJW3I4R
aw/DcV+SRL1D6sm5FGDDIVkq9yZLf5jz+CUtan/IOM9jh02pHscn1irHpBafZFhbO8zhhq/F3bQm
Vw5DVaDfdjJ6ihK+/3BCFjtzzHlWZbCggHJTFbqxzltwpkkKhzPzh7BZGTEm00mqrBNovmIxtugy
3YKKJnoOpvxubIzRK52KXaXebcMQ3WZdkM8s8Z75Q8LjMkLqGLGlxpaJxKUsnWX0wOveMtlXxxpj
c/WidvFJJvGpid14r+C7J0eUi9HQcD257aR5uaIT6ysr+tjypojcE7Yhm5IFlF7YxjciKV/qpI43
dYbzqYsbfzQK1rJ8oxhHUIBn/a5WxVXTWq8yh5yJfXBswm7fFtVjp/Tbsi3OUVluDGsk8DiPWy9s
e3dtWAMD4QyXqyP6Z0g1H20P1TUZt0NcTYB06mxVWItNlJ9qsq8lCgAvdft7J802UhxqdEj9OVDi
zSRcbOrFRTWLq9bjATbni9IBc+qnfqstpWPXsS0oo5m9Bfsvi/qGN2gceJZChmLNJr4seFIMIpWH
XTpn6cIuOBf9Z5SOqT/mOpbjZSGrp+2PEZrhUDpAT8cOg2qdsNRw3a1amPtIxek+BwYjTI1t/cop
XEzvyki5OuqBh5tn2LiKw7gbZFQ4RoTAB2kCqNL42Zlwgroo/Vnq/TMpJe+zPSRYnuhHQ324Th17
H8J5wEBKSyLl1HroDF2hNUctzOSRs2dJTawY0441ZNAil3uzYIe90WE5mY+9SB1nGxkN8CwDRCjO
o4IYM3ts5rXThaO6dgrFGFd1r+nODkTwhH1fN+f4Rinyqbt3Ra7K+8FtFP3YjR1ydLPIomcCG7X+
kspqV4YUf1WCeKA0UmMTx2a4qglpU5vwrg303pPpeDCMots0SgOaVbGOpj3GPttKAy+09V6TcYgW
wapXeWI8pwoBkFEP0kwVs3XQS97MaeHA2jeWuFqzfK0C4y1KGs2XDiAHfNmfEFIZpEclGoZiAMnF
GA0EAaSLKR3PU9X6Y+wiSq2Us1E0t0rQHXOnfGWd8TkjDxhG8JUtW0g2HWbmtfp4gMNkigFKk129
xSnZs3EA/0Ejw42dLdWcxP2vJTdB656UZHrJIu1zVgXPEpqfaZ/Dx4x9ZT5o05j4hgkbLWzu0mXj
KiIBm8sfs2MW2WeRZtj5x/INT8U+0nUwXgqS3TqeixVvxhvLToFGmC6diKLcsofW/ME2ZzQg3Rn7
DYKZMfD4LVQ7u2CF1IJO2+pGz9lONjkuNHs9s14BBKc8yNSfzfBJa1qkQjjgQR7TUzmpO/DFgYm6
qbvTZ2yq85g5vj7EcNAYnFzysRrWZCueKkfiL3bAu4aqfYmH4szgnljdKri44OjavKU2k2+WO0xr
QhvvJzofKki6s8DlAjGT7jHoCKDshuKJpfIhUVK+x25+xvINo6SzDN4Dc7kiIkjxmlJ+tK77yAG9
ERUBCHkkV1qo79DnPsKp2iqxPXrwFfb0c9feqe5cs/wRc9GtaGxvDAHtzeRz17O2hS6tNiTBN/tQ
6bkS5BAyWHMTWHfp3jWnBSFYeImj1dvWjAcvNlqYGN2VSmRTaPJ7n8OhTWtK6w5+wdQZ4zoVBE4L
1alZ8AUIM0P+1qZV8a0Ua76iqFuLFdZe8gv1WjgrgukTHCN56ApawdpiBdSOjzBMBMhBLkGOrI0S
z+FWGdRjVriWNw3U1oRnZcdQ1a6WKgntbKt6JQuR72eNYE7sfOQbsjL2ElvHmBhfGSejOivBVBRs
zznkOODMYTfnGh8J07lqDW4/RwUYa5XjO3kRT7gCLm1hv+PxfR8tsala8kfT8JmMQ8uXerwP8upZ
lM5ON5r7Ac0PblHIeUx6RRYdtWZ4C/Ns29nah5vOh7CLb4mGBzcrxX1hLIe4YkJobqJ/h0K/DYWQ
+P1N2R1/NH8JT+JRf5Td4huAUypv2Ge/8d3/KLvVb7zKoN9xbREosyhVfh8Iud8I+XJshCogFPRf
KKzuN9SXKCcXEAGgLPQj/2SHslBgfx0IGTZsJ57LBMWkkZvza9k961EeaWUsLrqD3z3IZ1Co6msZ
/iR7bzbRMTRWcYqdfsn/c7XTUPHnjWZfLLW4dISOA0y5yzrYeu3skeA6bts0ei4ac0ui4J1eOOfK
RSPQ2i+sg0C1jETf2elRmnZLRYNWSwu7x2osHghRqVedKxiWMy33RVy9BAkzA1M7mqRt5mr9Nkc0
+sn8rBkKINZRUoqy4RwT20vneNeiJ10lxfyshvZuIG4cwpFcxIYvSV48zk55cpP6GTBVvkpN7VPh
1Kub7jtMEaiCnblpXGUz2/M1dqkx+cm2lZt0HqUVawBprfSAG88Ohr2MWagrHFIhabp2jS6g7R3q
Wud7PdCYVHKy93OXqsxsjWMiMoh5g7KzhpgxDcbJXacA+zRwp6k9OxDrbqi6u0nmzWNmTm9ZxVTG
qp1DGIknkZtHZ4nXqsR4Zk/AHiOE0mQmxU72SkKAenc0jHZvuVix6sA8TOpPOKOvYdA9Tgh5oByQ
AUofAFMJ33+GoCOzjQ/dZgQD5+3xK2xtEEYPXD/YyDYMV9PQWwzZpl3STlv84+uqj09dy+8sDDMD
SF6YWA3KTtk3N3KUarQO7KTcSpMVEbzNGN+7UQm5Lx2EQdJ2UQhpEkxkXYqGuu0rwrn9inPO+npA
yGJqkjNaEPg8suQ3vFwroUNkBotqNt1cm+4572qGMmRHF0uINPIizdcNooJZefF/A9zMuX0HesSq
Pa0/l9knpTuSkSWg2l6iqkMTIslcTUdbt2+USHM8qVU8h6DWVKLnbDReiiX6uh/7ewY0REsvsdhG
bf5MyMmmZPiYJYK+ngTt0CIVm33pGVcxKiC4xc0St50swduG2V9HbYnidtOdETUvTmrKja4Y2dok
t3uSbOYrA54tMaw/0WuiOczYJ0w5fUOxRH+LJQQ8C5Wb8CXr/YJ08AJuu0FguElwuIYuhzHp0SqK
bVJWt71Ob0pN/FgZmNstwscBv65sA7lsKKynoOIiMPkTBz99ONe3MQHmk6G0p6F9KUyTlIFJKY/k
982xz1Ox2LBTX0FUy9yGklyJIOg0I1uigVcctO1dN5XhPo2i42wVN6DOD2NRfRJh2ngZ9HWxIS6i
ef93nPOfcQ5z97+7V9o0nsruLwY6PO6Pm0X9xkZ1gewRF6mxVP/TqkH/ZqtoDH+7Pf60nTcwBQho
FoI5ACsK9uZ/rBoY6LiLKBImNzt1pJP2P7lZ1C8H4K8DHfYfXGHA6QyLb+V/BjrAloDCNFZ5HRtB
4dYbbNMqA8+KMbBAo8Ltp2lcdWLg7kHOcBRZzrDCiu10n3HsPcd50J5ZpyD/0PX6PqEg3Zlj194M
aVD9rOQCR8s4nqLMnpiKqyBgK/TPLCcYLlzbJpeXOoGgoggLeh0QIgfSjMoeuQiKm5TN9E9Hie5Q
hpmXUAWorIXRsJ0dK3+UzmTyEWQnMLDwPcs2sgklKcgktDsl3ajmVH4H1IK4Wm+1D4hZ2bMpsmIX
mqR6FFXQvvVE/q4j4cRru3GHrZ0Qdwtcu7odGNxmXSyRgIWV3w+q0V8ipTD69xLQvnFUi2Ce4DuV
aQfsS3bKhxG6SXQTkRVfc8i3RXOxI8YQdqiO0X2UuHQPQwf+aaa4XXbeJMID2Q4NFhNkmMMjJhuq
h6TlI3TI4qOlFIxh4i6bfiS9VudrbXA3EM/GF2vI9DcCPc0SrIhVbND4cKV01nQvh3J+W+SsyEa1
WMDK4F6JQ9XdBlUf/uCdFHuimOe3oI3mDysenxul3hRhfFBsdgO5Sq88mE21U6oBgJWjdtM2hWBF
KS2nU1qOpExAKGKPk5cgr+MhjEG9SB0taJ8zsEnrJ8OOWd246qNO4b+rFFCnkRj6lek0IHaS1rp3
4PLspSLdx0rU1s3o1sLnNnEF2iqzfAhaQVBAn7k/FHbiBz1DI1KN+YVQXMVvZE/sgsKeaD1kdS39
MYiJUlHKdj9VQXHHVJXMEbrf15B62p9dO3kcGRec7MRIzpggkxfIe6U3zAuPOJ3Ll7kblSNvXuIh
bDKQMWYEz86cD49F0rCBKUeMFvFYXaM+a7yC2NfMLwwDTkvbGsTMkNUpGUSarR8iaSFilbQU8n0p
60FFGZl+sMdBv2V756DJKC31oyqreVMv8naXnmFFFIT572j9txofy+/fnMVl9lb8hdPK4FF/OolZ
2sKusaFrITr4delLHeEAOoVMuoif/lvjO9+Wf7oE7LKHJTeK8v93nZTzTbAqXvoGGCP2PwSkooT6
3xrftu0lHZicKY5hW/yPx9lw8qShV54ujgybKwLs/C5WK/u5zAztMA1p+jKp0t44shdn1moBasM+
YhHXz99td5D3kSgzCPoqp4dbBmtbkQ15OXUEilzcZFnknntdDU6m6Ta3+ih5fI8hzSd/06FwYyum
MBgetblG1AGODhBWSsqKoI4phsAXE4KrpmrH1zyKwgMunxkupEx8VkwTk22nYmg+fXe12ouWEyrI
7UPHJ5JDUhmORVq666YcYNZINyABTVywfcFriNPUc606XWEtIhFm4RS5ukQhk8zL3CRJPqpJHQzi
LAFEz3PIELF6icYwQNDee/EiCi6ZFoxJke612R0AedvaNVRDdE/TIe70ZmNUxa1ZQnOLhVS20grn
wxx2+iGKhL3OEKOrSt3usTi5vogiY5tmhbHuNS0ACkbPwFwOdVNe4Z8q+9u5SdAcZ222AsA4rxTT
RC5NDI4WujeJztHbT/x2lI47Kx4q3c9jlRxSCK/+ZA/Vvo7aQ6clr7Rd4yrPyAFCcpCsQZsdorCe
pRf0vGCMMxo/U1KxCSx1l6BImpQm9Eaz3+YyRUs2d9VbX4bJeZTGB8lXhN6IEJy3yfpwYLGCqeve
0lFj2qEOPmfcan32XaP+dU+GK+kWtezS1+q11JzvImxtxuLoSJFYjZzCK7uGA0eWECVmSjPYG+G5
bRn02kV+bHX1wzTLDmracN+jL0CFgG4pFQUy41xc7NDdIfbbIrA5JaN7rgaxjVQcVnMWqp4VoN8J
EPiG8SWf0SpZMt+4BsS72ZzOJmPWKlUe6be5/0fjSLvA33TBa641P/QB0LkbOe+jDavXnB5rxMkk
91Q4WasWIlQBMfWmTtlze5pude+Gg46eugz+f1COJ3fgzkfaEKcnFTFUB/eLcVrlBrpvq814Ci0t
3v9bGP+nMMZ483eHMWv7v9pz8qg/DmNkNsYy0WDgYn/NR/4QrbLnBF2ONGfJ7v3aWP4xcHGQ2ZBB
5xq2uhhz/kyr5jBm0sJzMRtAZEod+w8GLoznfzmMEfMIKNqsWh3SknUHaPWvAxcMEfBqRSIuION5
A5nLe0lf3lVN0q17gypI5EG6I/WWGajqfg9kH60C1mu+ado/ZJ7d26DY8XhofielwJ4S/wAzu2/7
+pQqCQxakyAbFJR+YPUS8IP6OthjuG21oT3mdb2ve4qSOb7oUtnnnN2ENa3UpkW6GcA56ydGvnbr
7IoYuTVlo61LXw5WicRvvhJuFixg0TtNlwTg2QotaUEun6LyUVEelAgrSNCjo6zjGG2hdcyS5yye
XocQQWxiJndtAwerqVuPnJNjLmqkQnOxncpSO4vKuEQ4MlZCNY4zLtm+6I5OG/ys3OEYE5ypscu7
NUbyt8IiIHOFESx6nxe0BWvaafUN7c60GlLHn9vme6yJnyHrW2Yseu0hu38cbYXVTs8Pkrm7NHXO
UxZGa5WfIRDpOZ6rtzaBsdoHabwemMh4kVaTNmMG6HdYbjZO/sjdeMG5/ErEBEMgWzuNTr2VRkq+
HJT/Ve+oG6cNiTcwL6mGBQqh5q4bVMhBM2hpy910g3ke+mgrpENYnZPcEmxgMBQfT04705k7YMeC
6jmOTN2jOmdw4qbf65b+BlHzszkPx4ETZiXb/LN0mrOm6uEpSpELRUxMCmlBM+6g7Elt1wYMAto6
fNCyZi8qBPqMu93DYCFtJJL+ZxHa92Ewbbt0GNf4Lw5TqX15dT9Go1pafMzJ8ok/2xUluiijd3CA
aPCso0ReWRRnJ3fMH6xTqaLldW1G2BQ3KBGDiB1C+8m8bpfYzdbi1vFk14Qb/uFZ7ep1VULcFWnf
gwts79W+2SZm+mJMKu4TDuXKMdmiI9eVJfTBosiJlo6mTd2mG0NCgOFyXk8RlGHyChwGfw0Dxgx5
Zr7QziZ9q4XlMTWNTeZiaU0pSIx0OCQRpLaogaTg8rs3gqNE10aCT2xP711YNk8RQB4/Cl3ii6yy
sO+0Cnp9uHJQUd4KJph30CCZp6hjvJG62BC5Y606LfhMw/EjMF0BUBXRgajtg12M31ur+SFT+rWq
LG+5t7ZKlN6qaM8IoDE9JBV+NdpwA+3ejzPRbBxgeGBADX44sotstDn6mOxKORrrKKBtdjN79pK+
ZRIY5z5y3I1uTW+jRXDPOL46AVWWOz3yQoOkSxSUysqpqKNtlCr7AkeXlapemGRgqoNdAkM+dQqi
SfBxT8Z80Cv5pNYNWTLwLjWohX1OT6HH9DZxjWkl1UhGsbcDi9m8ynlBvssm2U5jt8G+7PV5tyeg
O2QhaAMWbv0odp/zBORi20Rk2bjkgdYxuVu5RTxeiuuEipFF+XuLlVhIAMqjTVomBRKBg2dwkfuh
oe3LNcEydRh4bSGpI7Xu2ua9a/oLYi6/TYwHEYfsAqfmNKc2umDmwEbKp1Agm6hH1d2oqbg3u+AD
DjTvzp7GELm81wJrZjo8ekqNP1zPr4HABRaRZ5PE6BKduPciozsPdnEcFcAseZp5RujAYO1W0nJ2
KOUQnoita3dX9r9PQqv2AdYYi3jwdZpknH9joQBqLe904L5ePDcXQzBVDZPd4gio4v4msOYH9quw
tOVtoHWHpu4J0WEQPjIsnWdtY1nNWlfUPTvY3kdWP3MK6xvXlEda7I3DqMBzUU/VlfgB7QyCuNa9
6kRveswq9D1k/6u65D+G4a06OyfXmXoQ2mzmrXk4CCv1WB1GHqxyZupKvGSEmt2WPMurnimbNJuu
mut86trMBr4i8ZIutHEUdsh14Q2KvEyyukrbecRsEXm5SajnmJvueky07DnVgwmcf/+ZtB1JY+J7
1hWMeMtT5GILJ9TlDtMaQo3m0wzBTndqdRONkE2S+TFVNei+ffqdE3jdFuZtowRo44X7oljN01iP
R9LlEfN0uY1EjgGuyraL7MVoZHiDX9yQi4vSmPZBjTQOCUg9GTurbdPvfaYMqOgQwmyUWQ6eMzrr
TMR7ZDA4LYccoXYZ/TR6vfOnvhwBgatv7jxf1IZoAMoFdPDQQtnNJyR+1p+2pCZ1JYig2Oa4hKHg
I+p8KhPtWubaHeKjYdWXBnze9p3djy+hf9vKdGmtkS0h51cDOx2zefE4Tsr3aiwfspi58FDofpVh
XnQgYvSpNSPpd/DVU+dnXdLdNqhG1ibCqJ1RCMpnvK2jl6t6H/1/4ETa0gv+MrWzLQw6QrNMdRnd
2f8jEG5rkCKTq7sX9T5fPZub/lp7mPA89+3hrj0TbrQuPbmLT7gP/GhXbqIDevjkHG3/LXD/U+Ay
pv2bAle+MerP3rr2L2a/PPKPIld8o4y1AfNpFpSTxUT+p62isajLDcR5pvo1dv19q7hUsrC5XVcg
AMOYwkT294kDbBeqZqb1pPwQd2L9I5m5vmBnfn0XYXLHaY/OXV3YM4Jv/c/OLOKk9LQZs/LSUbPN
50SrzOQGK1eirSUl7JW7pZcemX03ZlVfcT2/G0xf142WP/Qqzu9czU+11rzAtjhkbXEX57EvFY0w
vSQ4O6Z55pOTeoU9bEO9xxXTpifGgU9zUnwQyzyuyl5rB8wT5a0Zzhs1h40SwcDuQEv7mgHaIZPJ
mekqYRAOQH+9L9QfGsFuYz+E2YZAE0fd0xU08YFUOhluU1VBbCt618KFW+kJ4EMFueLKgqNvx3a+
rW33YGWkAzzogURLHeRD0hGPwkz31CRx+5IMAUq5Xs+1Td/1yUxRlBzttrASD+Bpi6SjMRXf/YpA
5jLtyT/6ikbOmfGHeKbHH52VU81mxZO9ZCljqNk6X+nKxCxXQRn49kDycuKQwcz848x8pfa0VuIf
Jai5ngOomwgZy6B/1IhyVpp5L23lrkcxUvTDHpWy3xP9PA4mYfUWPjZCoZtMQ5IXv1UsisiGVvCU
dWdIx0yfCZR2liqscdW7vlP2FpHTwFBunCVWT29WuTLs1FhSb+Y7fHqn0IWcT3R1VzY/BFHWLum8
GtHWiMgoPexdoIYXK2L+WWfVfUYYtl3EflaJ7WC2d41EADOyLiQ8O+e+J570zXVaEhVI13ZyXVsn
7mehlmuD+G2dGG40YVBliHLGox4Q0+2m8qUhttvuHL8ixhu8/M1c5hcHKz8q/JsCKlBL7Pc8lOee
GHAjL254LRFRIRIjJjwJypuW2PBZx3Al5YFOZguv5VUzkw3b4XOFTSksSetYXvrQRoTaqF6cq1uH
gHLo23LZbBMwHmFkT24aS7ut0XrLWXk0iTjHhsYrDMqdJNB9C5caGuXKJRQdGTy9QfZEG/NYiuiO
dMdNUJknsl03GqHqIulR0E3qaSBuveeb8FwC2FOC2AMC2dHaek1EmjdB7cyajwPB7WWLE4NsyI/G
1sAuj3fNkvEehL15C5xlG1tDdGMFxnkytfzSZFDFqYGIiY+1Uiczno3Nyhzri8BiP6i8pTrX2Gco
8L168eFXGPInjPmsc9GM61SQ4e24OPdH9qk96Z++jqlfJhNvP1z+VRVs6eamjaIHr4gBz8NCBHDy
7iFFoKsrOl3PQg0AX0+65hdJYGEKKBE6sqpXCtKj1XNgGHfGQiCA7oN0cuQVZ3p+TcAUtEYOZRZu
QUUljD/ZTjYUh2cJ3AAEgGdSGgv6pTXvDl4tjQmh24FEgD3kFUAScCOCAJxauDrxBZj8SQenoKK6
za36plo4C0Odv1cG5AVtVgDNwGLAnccvCzyDmTn7cuE1EOYKXGlhOAQLzUFBU1AKjA2YA6EEgHwg
uQWFKOULy4pnuVAhpoUPoeTzTafq5xFwhLUQJBQHw39FkMcYR7jvk/7OAjdBSO1B4QZ2lC7bZKQw
o18dzhhm2VcvtAoiRCvPXQgW2sKyQM5Zb5L/w9557catpWn7VjbmnAZzOJgBprKyrGDJPiFKwcw5
8+rnWSppW6Hs6f2XgKkf6OqD7rYkkrW4whfe0AzHmdC5MLXgLIqK69ZscID3+yvPNJjvGFOliGS0
GAW6QjUDqg5eRwhpEEin8NnR1tCFysYo9DZ8g5jy32f/09lvUAv6/dmP0AgkyuHjwS/+7O+DXxVN
XyogqCEBGRKWxn8f/NoXClvPhz5h2y8IPxGCY1HYUil+YQT969R3vvDvsswp7UAMoyD1T0pb1pNm
25vYUYcmTolMdfgvHkVgjV7xsYGn9mZRVMl5qmAedlKpDfihoQkAsiCm1KkOSEtaAxP8xe/p7P0Y
s9Ffkmld6hAwJ5p1N7SdP88bb1UiAVPkQTrBjzmGEGudyrVSiNUTU2jCJQk+JE5Q3oADa05q6efe
qSS50RRv+xqj0eysGuoHSVSZDad70DnB5j7l28Yhhcvs4KjXhSWGE55IxB+lnBmzDBYlVuq4ntYQ
XIC7l9jQU+Ypm/KupWEL/XZYyqp9J/XKwu9qZUJVbWVZ9SmUaRCxGN9MjKL73tnSdVwP8TSMlEvN
qG89Ko9Lx0bbRKHOd+bR+Z+DX+dMMKJyjjL9GgxGBtSRkohNwQJ+51kmwHqAJ7G0Ar7ng+PrVfkw
kY1HvU6WGji/Sg+OdAH8KyVp2oMEhErLbzurRC5vG4ruWQ9uOhXYQTCETkiVGykMYIWgOO9LtTor
x+DGAHYY0R6aUTAFiWiY5xIPC8yxWyV+IIFElwC8S423QL/msgq0U+x+T8cnjKMcqOxU4B6Nwk4O
QkwYJoZARQIoOpeMDopQRV3AkCDDgWk+Cn14HKHAVRZefOIXjTy3gVyaFY33jpKWAxjTzgAZy05y
luPPAlS4sA/KPFWXIESJdUBzliLrzIfYXkaWX85Cgfo0W7efGwIJisQNqM9BXWHY/M0FLBoDGjXl
BonBtJui71YsS+DyPWaCkKXp6tB/mfQCfap3I9aZAFITycClTZXcJQvNnXZZeyQDX/UFjrWvy7tQ
Ki/M1jinnnnghVQSTDXE0DW7Tmp95SiY1EWjeV3DFJcT7xv8tkc6hhJlKkJXQyBqW4GttQHZpmEB
9FvND10rv5EEDjeuumvJAZnLn8L5E2hdTcB2JdxINNVEcEnJfiYVgmVBlp+QpJ1FOpT8euhpZ4EH
bghe572ACFs4/bBWShs6X6BOMVVedTUWZZFW9uvazcMZNDzUTgT0WIvCmwYrmTi41mrMdmwBUmat
4SUIbNmurXqZVnSTjI7+fa+o7lTL5KMB/ws9xRw4CQNtNoKFhhiIgVZaEGSBkw5SNaW1BHQ6eAJR
g6Z2QVVHPU155tqlrh1Kw89IBrIngcTOrGquCWi271tzW8/wYbN+ygK/nVv6z3KUvzsAu/EePc2H
AS0dEN/ou/lzcwC3NCTFhd9U61gfkUcYDuxsxK3WIdVWBIK8R6vGRoeltIefalX+8KTmqMvqr2it
n9QtVH38+GYjsHTNQbVIEUh1Q2DWwwYFvkbg2Mu6/plLSQJ6sRNMWWsdFOUP+gUyAG9YRKpAxPed
bR7WjQCuG5KNIJd+y65bEJ6VOH0Aqq8hWk0UWkEzNuSjSiDvvQo1AX9sD2uByleB55t+v6YWRRlU
IPfroornuUDzVzrS6gmaeBTIhbntZW0UlF4EmKSHD1jg+TPHYbxk0WUsCds8iUvq91nvnmaxJrwj
XCRZJe/SdbEuy51Lx9VXWj/YUxNehGhYXbg5bEdPKRZebce3ZVcFyF2g/EguCRtHLGwjvLEg5JP0
dNGCbVXHVdq/61PwJkgWLNouPWRDvxj0DBaKnFBLUZuvIH5UOp3GrIVktvQp3E3bStNhT4LJsNND
zMr1aVTEx5Xffg0Mnb4lHAIXpyIkLUtCdS/mb9v20jBDezWmzR1aWKDj89KdqKnqT82wgIY/Sj8d
HfhQ7ZfBEgzM13TI7kyNtV3Elo26kS1NEWDEM8YdU5xyHSp5WXEL+1/g9YHkJ0MPsk+FkejjZzTL
2LONPJXxPJTrBaIBd41DmSdnIpHILQYa6ROFVz7huCunnYYlU90j0AjCijFtA/MAftbK8XT4sz46
Z1pmkH7q7bU/RF87zsRpHdLcDQxw6IZleNj2DUw3GwxeEwpsukA25dLYzSIQJoOEipPbWd3Ukzt4
U5F5bdRwxdLhwciM89DLH3tUhSYond7CuiQyBYCDDFB6jJtvcQpD4YTzHwcZK13JinJQx3kJMVVt
MFEGaYVwYXxQjcW1prLw41S7kQb9rA7qh66IF44bXnPYy0eBCQ2J8/+gwgiYDP7KGaOVJlXdxMLW
XWQwDSXlbuXCh7XSAetLgfmiPdPOVMu6D/pMmiVl5uGRBFhlyOwLBV2LuSFcflIMPud5ju9jGzfu
gVwOa1NiMtSYqC1o1lz1KZQr25UOA89bl4jFehThkVvMl1lBvS218vMsQpYRwI83lxTjPg8BQDV1
8F2XA2QVCvNcbsxvmW4CWor71ehpP0O5s9hjKcipKi5bdo/FlGkRjtdmFU3kbGD6hUoNbnfAh2RU
vptVe4pqXTBHdjSZlBK7tj+A+MSGvIPAFK7lVD2JIBJO68ANEU1DukMAfPS6XA6jjuWbZoTTRo5W
oVcjN29jqSoLXGihuuk0E9Ag+JYPvoe1U2F75QLJOHmaJW07y+QBKThoKINk3lCiV0DkusY0KaQr
v+yuIR/C3A2cadbFAHYVNJsau4bdlcFB1/3L2rQK3OHrg8ZrqmkiO9fwf869uHOmyISR0+RSQxLH
etJoGvaeFM/QbjuQiJxYkKFMdbm6y70EhCvnOaPFEYIAp4mZjaCLdUCKpdz8aco0AWEgz6xE0MCd
6KclCNwoDNy3Q3nkcJJPBsu4r1prWdhNCcpVOXRTLUVqsNWnvRndeElSTbHuVKc2WUkoJfQR72Tb
OyYw0GHKSNlEacLD3CDFxokwPFWDjLJvyc/s6LsnoYBG7eVKKaFc5I10YSW0LtQkO9Cd7qYn5pqY
/ggvPs/SeVFjWYmAGlprUcHX0RErsLtSn9N7OrKhTtv2IBp9RTxl3f0EW0Prim7qHP7kQm6b27xl
6fql8jX2UpEsaieaGdTz1AjLCbpyl9CUcOqw8DXHU4t9ukxPer1MF6WpHyp2fU87hlZoUN8Uvc8e
1MjXY4y93RBfAXJPZl3FlmrJd1hTMPkpEsPksLpZFjfHeVUuUhnnH6opJK6Y5TJrw0eH2NhvTZjm
ffo4JuXh6GAn6lHtUdX0NghRbQC7lrfAzCuiPCti6/MLZqbvdBbakgEP2VhLuS9/mj4hnZX137WE
mK8NyZHp5lL+OcC3auZH6RpI/F1YN2e6XhwmAV5pCLgsXNQeJpjsrbDUveh9Zd4boDDcIrvsK2eV
6w4UHwlUSXiOk9kUZQUYQBpIZjeeB2V7jJDvQRPk09iQW/WwCpVhWniWGn2N09G8HbLAxGpEolXw
NTZqLO0HIVhm5NK/XcE3aDcDvMEfctCGuZOkj1uSUP7uJQlF/EswycG0qQpNDCEf/ncSiiE4QmGm
RQHalN/ogtlfdPJPDk/VFFpiwmHzV/UZnyRB+kZX/AmD/E/yUPOdyMkTxEJG5oSaI1BmfJEEBONV
Hqq0Bn1bxErORsM/BLdH9zqjboJk0JiG2aI1CMRDNz7R85hARtNXcqMsg7w+86lkpshNOp0Kr1pi
u1YOuypfR43+HWehaZTWJ/2oUM3UV6MvmBBSNkx9y/uOuPZXCGDR3EySNSASbD78AQ/KGAGeEbmf
o2RAIzCO0MKykxrCneYfNU1mH6e0IW1f9NAFVHUEjVA60Z0JT0tzlXOfaD4vqRRBRrnFx0+wY80z
m+APxSR4KpjlBWewmh/MLCOQgMY6HX2LqLuNlAOYdMd1jaekm1wRXT/S7j2pdEe0Da86ml1oi3jL
zGyOTAM5pKw1zzC5O4zrGEE037jWcAkes/pH55uLqkUvqgTONukc+xyOAUUxtGa76DTswgUlVZdF
iCRJaMUIO5TSjSOUXLMxn8lGeOyXYz8RBAyYEUicGTHEUgzKF77pJAspdH70SIUZbXOsQyU/zYuv
sD0WCcfsYCln2L4uGq2/GODL9CES5BodOk1BiDaWblvdvQHpvjAb0hun7UD6xcldMMApoj6Pa0MD
KboPT4eWoSui5qvcu8SlkZl8K/QDRE3smhIDADetsNpTT7YXLvgL4G5mNx2a9tKHesT/DhbEPvGs
LtJvDY/hghecRgGHtN5lSyOQGRsbP1EIoEXLewhDiYhDtuNZNtgwFAftIrDh6Xbug14g/hWY5pWe
mRcS3LCpVJvHToKOW2NgeurnJP5B6V9I4E4M5EGRfSf27ovwynbTezhas9RNEEOMHsK0/OY5tJVN
1SAw5EutclfpYK8gBgYuzZvSBVpoet1PAgvUThbg0hM0oJeTlTFG4CCwOlG1eI7tNAxRCPE0VvKZ
bgKwka38NsuSuQNq4dg3GO0iJiGARw9rpVcQ0a4Q95EoMU/GniPSVJz8BGmc62KMyCQaIm6ZIzAL
AAah8mkjxJ42k7jMjmR0x4+hyQMfqG4D0zpGvv8ibfFztgInmUrKOC6TlAg/dUuK7wNnHpI0P/K0
uLRbXrzRebOBkr3cuA9uKykzrTUunNy+aDp31WmwORXXPbAQtpsYTPoJwhaLfqQ9XiqUflQvquj6
IjYXFrhQS+OwRgK5mpJNEoIzopNaKg/rFgvOyKQ2Q4dDEeVfNBCXAbq98yG6oE2kAMuApDqupWhY
16155fXtVRQjrNnb55GKBir8YTIFlfhOC6RvYN0JZXFb98d64Q+tiZ15geCdkIUDkkRWIg1r3utw
qFfGPMtBHkYU2GaqpD+qfXUSy9JJL9fpPLCHdA5gdk1JfDXktTHNTARZZQsKEDhxazKUBOFq0V0m
Fqa5RVUrSxcEqcAt8jxtnM66hhnIv/9UYyhMgxG7VNmJkO1YuqAq81glTAndTAIiD+s6L4vTKka9
VVX0xzwHhil1iyokV5LUWJ+j8wdiQQkXvjyWx64CzjPVeduM+FGR8qWRbkDruE6/60mcLciW0Y4I
bIc6HQFbPHgrFymCVaYM68LElMBhayS+XhRaI1GR1k/G2j+r0IIgSQKBOgTaZRcmHeJNqBBV8hJc
81WOz72WKZeKV6jTbERSSs6stQfwNTd9+nd6MOsCuF6G3FxL5qhM4RUW8zik1lQaTOqocr+35vi9
rKkjVLq38mJphQJSM0/Y4CZ63VzmtpLMyoj3i63tzKb+Nu3Qu5l4CSWhEl4Vu3zmO2dsdEuoxwjm
6tXV4HbfIrW+KQubLn7U3OjOKK8UtVOoAKjQqPC2mgW2b0wHH2mBzIPTECvaQVmFl6mpLceclpAb
Kd+7iDqGE4cLI3bCqe0AydFy/HBK9Vtrfu2qw9G97agG+tpXqkoTynjfCJuvAy3h1aT10kyzUzWn
+pnHSrWSQ/NRYaOfK71zTqLK0qb8upIMIkHLHIN5jHv3JMBYNXO64yqP6ROpK6uP2X6DYT4OyiVk
hCM/w5UHlfwbq6bmIRf1YVGfisZhbeD94AFDwSGCFl7mBEu1KFHyL4MbZRiXiJ+Hx5SOlMUolSfO
YEkLpKejhVb34WSkRDqpcvJqw03mXe4dGlROp5VpC+5n5lFQGRpNXSFS8mgHiX/SpTWsIuJ3w7oJ
M8RFSoAZKO8W43CqUG2Y+hXv2cLmYeXZNdp5SD+wfx269QjEAdGyM3mUxpVLo/SgpSsIhsq2140+
DMux71X2Y7uYc3iEcGTw9zSUE1rZB+xGhya6opGtUy3Fpngmlbr2LbBydogWZ1q9klaE1afQM71V
6suP2iA/Ir18x5EjrKb71SCTDNsWWZbMV+cZwT9ns6iP7/sgotzm+UsEK4H3uODQUs+89fukXYLT
D+cdQO4CWxCy1hHskSSgfeaRJ/qld4hxKLp7AQl+JUkYiwUlGqI5ogRBkyhT1A2uGX5OcSV+RNT4
sFU9a5HTNy4rcxnaFVRD+CoLVE1RjCzlHHwa6Cil6G7TukcMIb409GFmxsZ14hQIJoZUg8booNPN
Bc7z8P6VhJpYv1Dq/ApHkns21/MafPQ09pkCgVlcINO2YINTlp0OUtpR0NH2aaVZI0BDE2C+EyZn
lgPdMnL9Zg4Zd5iXfc18oDE/883Rh5BczZM+JsUx9QrFZXU9VlQb4w6eFQnORLHNU4Lc27LMj/Hv
tsifpbmC/TN2v985WihUqRfAro5YuSugEDISdP51jjQ0qh40IRWO2kg5Dtz6yI2zGyNXblHk54xI
rZtK7U+yntS2CyBehRI9UcfwviWDnE4VKT4Yg8NSL08oNC3yTqWWE9hffSPnjJbM6yZvT8ben8hp
cBfrxmERUW+ttOEY+aJmNZQDiWNvniSKjaZLwkYoAVY0Aqp+hr6KMsjX8njUlJqGwQitSXM0b8Iu
Sc41YGwzqnbYw3aIcLQ+UIVWiGbiYEt5PkkH/MQsHamkclXpKmV0ObyzOmIYu2/OrRzhZqdssyV2
btVxUmAhU2gdyF3LZlNyYS240tJ5wjOoT9gGepvgHMxaOoSslyxNPztwntAQ8RMyYnxCSfy7Jbhp
CdIj+3069g115mabwoBorf2djdlfTE1Q92nIKZbyuiX4pNIMlZtWnAMM57XCgP7FIRMDiK47pHFP
OdJLNqZ94TBXSeE02VKefvQPAO8CL/amJwiaSAhA2qqlAITVBVLoVS7Wy5LXlmWKRrOQI2bJe5WB
jlOyYaf91m9XkYH8v78RMpm6TkUTIQNZFw/y6kYK+pKFGeo5kaHhXEd+IZnTxIqHcQVKia6OVqeN
flBV7niJRjoyUaai34Q2uVuehfZhiaLXkWIJuiFInP6cWs6FNmRkSebgWdVRG4WV9qPtC9NGUK9o
WyTyACi3ehsAsJXisy6MsZQK8jxT5xThGmQOJc8l2K9cCi/R4MwF1F+eVem9EevdqUX2eaY3iKlM
lRzg5SJze20atw1WFVVGTTXoMu1MbhUjOm7j8Kysow7sEebcvnOuKfKjUeUPKYcSzMYrqy1Waact
DcnMODf4FlDYgS+6CydB8Cg5cIehmGkRMCoAjrN4KH76tn9BGfNUUfOfjdZexsKNnU05/G5FkDaF
le+JZOUlNguGeRgHMG6chL7UqOJNKEnaTz2sUDZ0ffk0rQsM8Vq3mJCTGTBK7RMwvqdVCiJiVO2W
kG9Ul3VqXQ+KdItzdjHDLh5UeV17KmILmFUxLTjwIU0E9H/EJZDAVyKzvC71Wutnpp36FxVijPMG
Sg2iD3J/q0MsYBRVvOKriFKiLpVIVaGpWZg1hlKSopy+Wnvnm0n72lBMFf3rd3NZSOQptoG+udBE
fzvFiqEsPA+Tr1MOoHVHpnGJQdUELC6IyBQIEx7D3hxW8hx63MQ41BfaHMzGNPpf5roh0HO/ngOd
WE0Q+hBeNwSbhPPs7XMYPa5KXuVnp4T2h0Ps99PIK1zyGqIROgjOvGhdhK1UExll15ZPPKt0DxXe
kRkVqKpZ+JC6UOtsdfxR95mzqFTa7XWdL1x7/GEZrkF1hOI6gJUb4FgW2uXFMLUq0Cx95yLo49Oh
Mfx+jsDeslOgqbgjQaTtwrVyVqOGCo6qLnXAApOiRrIhcKA4JOmKgvwsQ7hmksn5vOu8YxVZTjIE
NFFboowkCTGFaYvTrne0ZeEJELnmXXtdtkIi54TUSibjzJdyxESznILqvhxe/vkVv91Enj2YZSQI
dYf6kea820ScUe2cPHHLU7lNwiUbAQ49JWe7FPhzI0PCQy+89Z9vud1v89U9371NqYdo3kZedVp4
2nfDJcqCkgCHxVrpSYOrFDArz6SaYqGHYcQUe2mSDcdj2YD2l4zjLLBv5YBSLTCsnyhEE84VJ2pm
fpXd8d7wih9JFxSzIi3yDVT430ZUop74+zP5O1pYW8qj/M3LgSw0oGUwiIA44OLqouL6d3kU+A6H
EzKblimzN4HA/QXOdVRMCi2Bu8Ze5C0DTaPPA4vYprumCqWHf3AgQ/N8s30YMheQTWqxSAtZKrKf
PMTrk7IuESGI1bA/Q0MBtoKNJ5NbXtVq4k9DFTH+UUmzqwAcLvrpSXJZNW65kmQFFsboKlMFPw4P
GnA9KXTtFOKzPEepHWU3K8S5BaZ/rcqkh0V75zRdfpUNIPrp7/bnDin5FJqUNXUaN7vSq/aklFE8
r1PUAQMfZTOvIDPpUu8Ckka6bAxVm3utq8wqRblOMFZcxTAxliG7AwjYA22wr7yiwRxVD9UZSNzg
LA76ZEoY9APNB7qvnf0tHdXguqBMd+KrQ7og68NWKeIQVRiCM8x/3QWFFWcFJUMwCbCZrRPqY11u
ObPY02hYpGNNqw2yNDZwpJohIlpNctwUSBg4kM+IfSZ11kydjM6e4eeHcqPPI8uT56rXHkaldNRm
9jdG8yTLqCzKNccVNdcETKD/w2h1aDw04LMuu/GK6EYIjM1z34MS7AWXtQ57BV4GjekU6x7T81bR
yEkvmcmj5tEw6lPz0MSwcFLTGCcTCcNFDRpw4budDMlg/M6LDmFB55eZ5J7qaD7Y1I00N4Y+lWsP
7lCdIy3ZHiNIiPR1Pcp4VdiniKQh/O2Op0bGK63zfgZa9TxKtDuQvWBko3vJzdnFff8wivszswO8
ZVHLwhEM/QGyzgNMP41p3KBc03nOGY3/eqomgpABX6xPIJJhTj2hqvg998avuo5OUmGhp9aPElrh
AFKZH0Br7CKyz0icQ+1O8BWGAws7iLmFFjIiQGNCRa/0ZrEBvsK3jEcJhljQ2GAspAGyC2eE64QG
Qj3xYYsp2sQyaISpiXKsWdTTY6Fn6MoKJ7ZhB8vBiCCzA71FTJrk0DBa4I8luAkvwlKLctzgU/sI
kF+cZ6GzwBoEGZ9oZJAJ7w6wqMc52oBm1bHApzIzVfPyizhNe2a2ftDbDlXHKJGvUt9FeEfHgzRL
EbE1QuI8xwR/5dJH1eUUmJz7OABhCgBiHUSGcVXW7g81TespbqZTy3JOqRDGJNwGfKyukbEeMg8k
u9TPqMNgVIwcxjRXAhPGin7ZRlk2dWvjGEwoKFDEuKeyZByWCJAcKkN2VOixclBk1Me82oGpfVsp
7pnUeQt0LPoFBiEI75YBfJekXFYDWDrwdjO7iO/82FjYWc5SZ5nkgnGuJsmPHAp6L7jokWTZM9gs
ypkvmOqu4KxTc0PPSEdEq7Hd07agjRs6JpQ9Z5zEKThmjRABMmv/dVBAFGB9Cjd+GG1odvDlqS+R
v1aZvhw8Fza94NXnRXqETJY1HwTnHuXX8bAIFWmpC0Z+VuRfTckpFyNkfZwzbwHwaOdqSBmA3Q/d
1wCEmQ/JX8IKxROsfxP6f2GF3s8KQQDHZxl/tRAJGJ/kAlDoQDrg6dj4/+D8fH5EYSw8T4FxDF+b
x3K4eKzA8VQvR4v46XkG+Okq+3/7pT9f6C9SW+58NeSP//kf6we0/GdBVZfBfc1xtPnZwcN//sez
RAf/9uZEfnqwp6f+43XiNfdoHriDZgJ11WGYiAaj+BBTxxkSNJsfS4pwS0ZVj3Ob45J7vRqj343C
n7/gZjj//Dt/fPj3gyC/LxX880FwsMZ0KPWjOvL0YVg/DALEVmhAmxDo/3gQXk8ExEMoHfzjScAX
/DUHrC9EWCaqV87m65O/vfn6lEvoalOoIHJ7+uzpTBDVn388EuJd/xoKHfF23jTCM5tv+n45MBRU
lBTZFNSt/VwOKFXuOAgUzhzNYDXgvCI+WwaBRBtPFmsz4P/Hy+HDxigee+dBsL5QGbTJErSnMUD1
7e2iYGNUAXNYgi24lxNB32zYm1Lh36fWPzocbDYGiIqi4vn0eb8xiMOBCipp294eDjzyzqtBMEA5
BJnsb7ZFVUaNVhSY5c2+ubnVvi0GhLSYujuOAbseID72xecDktT97VAoX+BQ6KI8tKerQd4s011W
A9aOCpqN1CA2O8L7bVHUNzhHFUXd15nwoYLzz0MlzgYLsVRG4eMU4AeWQn9gT6fAB4jfP//2wvhT
gOf030RKbAkakjqYybBC9vJUEKDEHTcDW6AcVZpkUOTER0RQb1IGsI62iKf391R4X8n85zMBzQCK
mA7ihb/ZDFShHIDUlrK3geLO8QEuSJZo+ahiJMTnQ4xEOA13jhhpX4MkZfdBkL/oRMoUoDerQSyw
D8tBKKghPrGve8LuAYL9xYJ2S+V5MxFE/P1+EFgoxJKG+TRM+3pGCMWOHbdH64tusyjIoDZj8WFR
kDio6H/Au9rT+SAg6DsOgkmYsEFKbFbFh0WhgIdHFB6B0T0dBKE7u+MgEDDS01IcISb0djVwOOAg
bmnCVZyb7F/O8Fze2CVcxu8cwoNBo+d5T3g3CJRSLBtbV1vZi6Iab+J9ZVHZLNBdBkH9Qh8RXAQl
o6fP+3WgGF8MxsjA3m+v90Vl56oSMvr42ys6CKp3E0HVv5A0aJhCPYcRe7om9J3HQNNpc+MvYFFq
3XzeDYWotDq2JsBaLz/fy+1B2exbu6wMDJxllf2RZPLlq77ZIxWRZjgmUh77GkA/71u7DIJD/Uwo
mlNDevowrG8GgQIbUugKmrybOHX/Dgpl93zS+KKh5U5ZZbMFCvmUN4PAohC5loL96Z7uDNruywHV
e2TmyBjlzWr4EDUqX4gY+Q8jJT77Gjsqu/dgzC+8aUrr+nMA/T6XEJskP6PMtrfzYffAQaPSJKPK
/bwmPi4Ki1WDHiV+NHu6KJ7fzi7bo44RnKpqIFs3i+J9xZUzQgWwRdVxU4ra20WxOcJ2GQr69ELF
CoDQ0/L/MB+oPELtJfMUmpf7GTPsnlBRfrVQsDfk5zLD+/nAcQmDWsRX+xozaJsta5eZwCAwBDoe
h5uZ8D6loA2hOuyejrOZKvu6KNTdw+mnUgtLAq7904ev+j5ycEzdgmPxfKru6dJ4bhjtMiuQHhCB
NHJ224cCjwdibcx2RJF2L/cHbfeqE9k2Is0GGff7iYCOr6nZQIifT5J9HYPdoyeSaQAsfNPnlOL9
9qCA9qF9h9fGno7Bc69gl8VAbCSbqECazwWF99OBwxIDEoewYb+D6ecu4g5DQYuGXqVDtPxcUPhQ
fJG/cJbQ0n5O5PYvwxR0IzasHQZBEzgW0P0v0+FDn4qMgpI8rozPRd/9GwR95zSb+ht4LTZB+JBP
ny21BnZI2bZFgW4vT4jnB9txJkC81MkdN4PwfncUqC56dTIhxZ4OwjMEdYdBEG1brLV5zy/dunen
JYNggv/DDHUz6/ZvOYgDfsc9AStY0Y/EI/Y3uSUAQANoF6LCezoTjJ0DaPYEGg8mSfZv6tFiOVCN
BtS0ibD3dSjU3XNLnM6IiZgRz9CeDzsDEDdUxhVUnDefPZ0Vwql+x6WB/DXS2DTzn2fFh1okjsiM
E96e+9q5e+6r7rBJQowgghbT/jdQLxEzODQnlGdY2f5tktrOMQODgK61QD3+phRLrUGX4S2yQ+zp
ctB3jx5p45sysD57kyxsA/jwQ9p6QmGPz75uktrmHe2yKCx6uEIPn1j5ZRN8U3DhvKAsRWzxjKPZ
w0Wxe+RgECKipc0WuIkh31edyC45UxEdeT6V9m8QnpFHu80EUXenb/m7FFv5IjZHIOH7ekbou88E
i0YUdkeG+bv2LTEDdk/C4Xpft8fd69FCv/TJHOs5r/wQOD1V5Uyd3sS+DsLu0SPlV7SGAEU/h0y8
77cbI3g3waXZX4KEUG3ZLW4UCB86txRgn2tNH+JG0Ayk1oBb9vWINHY/IkUhXgHQRTHp6fOhzAJL
BDiHTSnmX18O/8IR8jdBeeoH8cNcsIiDx2obg/l3v/BSY/v481fIuCe+6ZvfFFTlzc03+Dnx///r
LXP5CeD46qcvgMenOz3//fNX/HjzNzd7+V4v/7gKHst1ee8PTz8Ynh/0dJ3Abf7vmP96WL/H9Yl8
/+XfttOs/14Gf746PjuPLxf6xcmWyb9+fdWPHO5/7eLJ+iErXy706uIsnJ0vPsGKbduDM1N3vvZ0
Ha9bXkn1cq1Xz8583/366HBXH14pcTdnyydcPK3L9V/TrKq33YJAZudbzB7jv06zcuv4s/fsfP15
/NcsK5k8L9d6Nf5sxztff1E+Vum2i3Pg7XzxZfyYpi/XefXgn7FcV01yl8UP9cfLC2jrzo9+kOSP
ZbCOXy716+kFiHj3y2PL8nKZV5f+jBV79FhuGXPRDdr5qY+C1NuyEQiI2M7XPl5HW/YwAcn8hEtX
1eO2MfmMBXqcVX/9d+o9xo/bRuYzlujJ+oEN+GUcXs2Wz1iiJ2vc+LZc+zOWqLg2cstbHl1ARXZ+
rSeP6UN2H2zbvQT+4hOuX94/Prxc6Ne4i3727hfPePaX67y69mcs05Ns65h8xirl0vVj+ThsefLP
WKmn63zbbPmMdXr62K4/xo4bMv3Ob/OsXLMFbBmUz1ii5/H6/nFL7CiqUTs/+TkK0duCO9F12Pni
FwGhYxU8bBkZ7TNW6OX6viQlSOstZ6mAcO/8BS7X6V+TR9xKt93gM5bq5gZlui4ftm5k2mcsWnGT
WfDobfsSn7FqxfUXrID7oLrfdo/PWL7iHofZumi2nVYChPkp7/q4Caq/zu6CKt/2PT5jMYvvcbKu
H7dd/zPWM9ev139N1uXdelvMIChPnzFS3GMab7/D5yxs8S2mZTO+PO6vI1L/lIXtr7fmhAKWs/v4
UMPYOvifspiDKsI5t3l5zlcD8ylrOYvX26IH0Q/cfWAITJItB7zQgN394vUaEcp43VQvF3s1NJ+y
dEWZZcs5LKTed376q0d/vW1oBCZk94v/0XH7D/qE/1Jt66phJ9hyxIue/e6P/mejtl2f/c/GA7te
/Q8SyjtfurnbspBEuft/GfJtZdm/Cesfi7Uv6o7b/uxtLVr8xn38uC7/638AAAD//w==</cx:binary>
              </cx:geoCache>
            </cx:geography>
          </cx:layoutPr>
          <cx:valueColors>
            <cx:minColor>
              <a:schemeClr val="accent4">
                <a:lumMod val="40000"/>
                <a:lumOff val="60000"/>
              </a:schemeClr>
            </cx:minColor>
            <cx:maxColor>
              <a:schemeClr val="accent4">
                <a:lumMod val="75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microsoft.com/office/2014/relationships/chartEx" Target="../charts/chartEx3.xml"/><Relationship Id="rId7" Type="http://schemas.openxmlformats.org/officeDocument/2006/relationships/chart" Target="../charts/chart9.xml"/><Relationship Id="rId2" Type="http://schemas.openxmlformats.org/officeDocument/2006/relationships/chart" Target="../charts/chart6.xml"/><Relationship Id="rId1" Type="http://schemas.openxmlformats.org/officeDocument/2006/relationships/image" Target="../media/image1.emf"/><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image" Target="../media/image2.png"/><Relationship Id="rId4" Type="http://schemas.microsoft.com/office/2014/relationships/chartEx" Target="../charts/chartEx4.xml"/><Relationship Id="rId9"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24</xdr:col>
      <xdr:colOff>279400</xdr:colOff>
      <xdr:row>11</xdr:row>
      <xdr:rowOff>152400</xdr:rowOff>
    </xdr:from>
    <xdr:to>
      <xdr:col>29</xdr:col>
      <xdr:colOff>516467</xdr:colOff>
      <xdr:row>50</xdr:row>
      <xdr:rowOff>59267</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AD079868-819F-729C-98F3-64B3F78CD0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494000" y="2201333"/>
              <a:ext cx="3539067" cy="71712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364067</xdr:colOff>
      <xdr:row>0</xdr:row>
      <xdr:rowOff>0</xdr:rowOff>
    </xdr:from>
    <xdr:to>
      <xdr:col>32</xdr:col>
      <xdr:colOff>1</xdr:colOff>
      <xdr:row>14</xdr:row>
      <xdr:rowOff>135467</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839B6DD8-2E23-F228-D0F7-1B6DB39551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6899467" y="0"/>
              <a:ext cx="3598334"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55</xdr:row>
      <xdr:rowOff>177800</xdr:rowOff>
    </xdr:from>
    <xdr:to>
      <xdr:col>5</xdr:col>
      <xdr:colOff>575733</xdr:colOff>
      <xdr:row>70</xdr:row>
      <xdr:rowOff>127000</xdr:rowOff>
    </xdr:to>
    <xdr:graphicFrame macro="">
      <xdr:nvGraphicFramePr>
        <xdr:cNvPr id="2" name="Chart 1">
          <a:extLst>
            <a:ext uri="{FF2B5EF4-FFF2-40B4-BE49-F238E27FC236}">
              <a16:creationId xmlns:a16="http://schemas.microsoft.com/office/drawing/2014/main" id="{59C87ACD-D949-448D-D58B-854CADEBE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838199</xdr:colOff>
      <xdr:row>73</xdr:row>
      <xdr:rowOff>118533</xdr:rowOff>
    </xdr:from>
    <xdr:to>
      <xdr:col>8</xdr:col>
      <xdr:colOff>541866</xdr:colOff>
      <xdr:row>88</xdr:row>
      <xdr:rowOff>67733</xdr:rowOff>
    </xdr:to>
    <xdr:graphicFrame macro="">
      <xdr:nvGraphicFramePr>
        <xdr:cNvPr id="3" name="Chart 2">
          <a:extLst>
            <a:ext uri="{FF2B5EF4-FFF2-40B4-BE49-F238E27FC236}">
              <a16:creationId xmlns:a16="http://schemas.microsoft.com/office/drawing/2014/main" id="{D14BD52C-019A-A817-5BF0-0B3317EED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177800</xdr:colOff>
      <xdr:row>89</xdr:row>
      <xdr:rowOff>59268</xdr:rowOff>
    </xdr:from>
    <xdr:to>
      <xdr:col>9</xdr:col>
      <xdr:colOff>939799</xdr:colOff>
      <xdr:row>99</xdr:row>
      <xdr:rowOff>25400</xdr:rowOff>
    </xdr:to>
    <xdr:graphicFrame macro="">
      <xdr:nvGraphicFramePr>
        <xdr:cNvPr id="4" name="Chart 3">
          <a:extLst>
            <a:ext uri="{FF2B5EF4-FFF2-40B4-BE49-F238E27FC236}">
              <a16:creationId xmlns:a16="http://schemas.microsoft.com/office/drawing/2014/main" id="{1E11B5C4-22BB-E9BC-5727-77B11697DD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100</xdr:row>
      <xdr:rowOff>50800</xdr:rowOff>
    </xdr:from>
    <xdr:to>
      <xdr:col>8</xdr:col>
      <xdr:colOff>1532466</xdr:colOff>
      <xdr:row>115</xdr:row>
      <xdr:rowOff>0</xdr:rowOff>
    </xdr:to>
    <xdr:graphicFrame macro="">
      <xdr:nvGraphicFramePr>
        <xdr:cNvPr id="8" name="Chart 7">
          <a:extLst>
            <a:ext uri="{FF2B5EF4-FFF2-40B4-BE49-F238E27FC236}">
              <a16:creationId xmlns:a16="http://schemas.microsoft.com/office/drawing/2014/main" id="{DA2380EB-DE23-E387-59B4-25B8E5C32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33867</xdr:colOff>
      <xdr:row>117</xdr:row>
      <xdr:rowOff>127001</xdr:rowOff>
    </xdr:from>
    <xdr:to>
      <xdr:col>13</xdr:col>
      <xdr:colOff>601133</xdr:colOff>
      <xdr:row>130</xdr:row>
      <xdr:rowOff>76200</xdr:rowOff>
    </xdr:to>
    <xdr:graphicFrame macro="">
      <xdr:nvGraphicFramePr>
        <xdr:cNvPr id="9" name="Chart 8">
          <a:extLst>
            <a:ext uri="{FF2B5EF4-FFF2-40B4-BE49-F238E27FC236}">
              <a16:creationId xmlns:a16="http://schemas.microsoft.com/office/drawing/2014/main" id="{566AF5B1-8296-CDFE-F7AD-C2674FA23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212514</xdr:colOff>
      <xdr:row>130</xdr:row>
      <xdr:rowOff>49106</xdr:rowOff>
    </xdr:from>
    <xdr:to>
      <xdr:col>9</xdr:col>
      <xdr:colOff>610447</xdr:colOff>
      <xdr:row>144</xdr:row>
      <xdr:rowOff>22648</xdr:rowOff>
    </xdr:to>
    <mc:AlternateContent xmlns:mc="http://schemas.openxmlformats.org/markup-compatibility/2006" xmlns:a14="http://schemas.microsoft.com/office/drawing/2010/main">
      <mc:Choice Requires="a14">
        <xdr:graphicFrame macro="">
          <xdr:nvGraphicFramePr>
            <xdr:cNvPr id="10" name="Order Mode">
              <a:extLst>
                <a:ext uri="{FF2B5EF4-FFF2-40B4-BE49-F238E27FC236}">
                  <a16:creationId xmlns:a16="http://schemas.microsoft.com/office/drawing/2014/main" id="{83A3CC14-7B18-AE95-C065-05595AD0E4EA}"/>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4200314" y="24263773"/>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390314</xdr:colOff>
      <xdr:row>129</xdr:row>
      <xdr:rowOff>181187</xdr:rowOff>
    </xdr:from>
    <xdr:to>
      <xdr:col>12</xdr:col>
      <xdr:colOff>212514</xdr:colOff>
      <xdr:row>143</xdr:row>
      <xdr:rowOff>154729</xdr:rowOff>
    </xdr:to>
    <mc:AlternateContent xmlns:mc="http://schemas.openxmlformats.org/markup-compatibility/2006" xmlns:a14="http://schemas.microsoft.com/office/drawing/2010/main">
      <mc:Choice Requires="a14">
        <xdr:graphicFrame macro="">
          <xdr:nvGraphicFramePr>
            <xdr:cNvPr id="11" name="Gender Value">
              <a:extLst>
                <a:ext uri="{FF2B5EF4-FFF2-40B4-BE49-F238E27FC236}">
                  <a16:creationId xmlns:a16="http://schemas.microsoft.com/office/drawing/2014/main" id="{89D2F3EC-9427-6592-BC0C-03D482572BF9}"/>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6359314" y="2420958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87739</xdr:colOff>
      <xdr:row>0</xdr:row>
      <xdr:rowOff>0</xdr:rowOff>
    </xdr:from>
    <xdr:to>
      <xdr:col>38</xdr:col>
      <xdr:colOff>0</xdr:colOff>
      <xdr:row>61</xdr:row>
      <xdr:rowOff>-1</xdr:rowOff>
    </xdr:to>
    <xdr:sp macro="" textlink="">
      <xdr:nvSpPr>
        <xdr:cNvPr id="4" name="Rectangle 3">
          <a:extLst>
            <a:ext uri="{FF2B5EF4-FFF2-40B4-BE49-F238E27FC236}">
              <a16:creationId xmlns:a16="http://schemas.microsoft.com/office/drawing/2014/main" id="{26DBEB98-26C5-6827-EC36-C7018CCC12D7}"/>
            </a:ext>
          </a:extLst>
        </xdr:cNvPr>
        <xdr:cNvSpPr/>
      </xdr:nvSpPr>
      <xdr:spPr>
        <a:xfrm>
          <a:off x="2009304" y="0"/>
          <a:ext cx="21364218" cy="11115260"/>
        </a:xfrm>
        <a:prstGeom prst="rect">
          <a:avLst/>
        </a:prstGeom>
        <a:solidFill>
          <a:schemeClr val="bg1">
            <a:lumMod val="85000"/>
          </a:schemeClr>
        </a:solidFill>
        <a:ln>
          <a:solidFill>
            <a:schemeClr val="accent1">
              <a:shade val="15000"/>
              <a:alpha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59266</xdr:colOff>
      <xdr:row>60</xdr:row>
      <xdr:rowOff>155751</xdr:rowOff>
    </xdr:to>
    <xdr:sp macro="" textlink="">
      <xdr:nvSpPr>
        <xdr:cNvPr id="2" name="Rectangle 1">
          <a:extLst>
            <a:ext uri="{FF2B5EF4-FFF2-40B4-BE49-F238E27FC236}">
              <a16:creationId xmlns:a16="http://schemas.microsoft.com/office/drawing/2014/main" id="{8DEDE5E2-F78B-69C3-02C8-8E5EE082B550}"/>
            </a:ext>
          </a:extLst>
        </xdr:cNvPr>
        <xdr:cNvSpPr/>
      </xdr:nvSpPr>
      <xdr:spPr>
        <a:xfrm>
          <a:off x="0" y="0"/>
          <a:ext cx="1998133" cy="11331751"/>
        </a:xfrm>
        <a:prstGeom prst="rect">
          <a:avLst/>
        </a:prstGeom>
        <a:solidFill>
          <a:schemeClr val="tx1">
            <a:lumMod val="85000"/>
            <a:lumOff val="15000"/>
          </a:schemeClr>
        </a:solidFill>
        <a:ln>
          <a:noFill/>
        </a:ln>
        <a:effectLst>
          <a:outerShdw blurRad="101600" dist="38100" dir="3000000" sx="101000" sy="1010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B050"/>
            </a:solidFill>
          </a:endParaRPr>
        </a:p>
      </xdr:txBody>
    </xdr:sp>
    <xdr:clientData/>
  </xdr:twoCellAnchor>
  <xdr:twoCellAnchor>
    <xdr:from>
      <xdr:col>0</xdr:col>
      <xdr:colOff>169334</xdr:colOff>
      <xdr:row>3</xdr:row>
      <xdr:rowOff>118534</xdr:rowOff>
    </xdr:from>
    <xdr:to>
      <xdr:col>1</xdr:col>
      <xdr:colOff>931334</xdr:colOff>
      <xdr:row>5</xdr:row>
      <xdr:rowOff>124178</xdr:rowOff>
    </xdr:to>
    <xdr:sp macro="" textlink="Sheet1!G4">
      <xdr:nvSpPr>
        <xdr:cNvPr id="5" name="TextBox 4">
          <a:extLst>
            <a:ext uri="{FF2B5EF4-FFF2-40B4-BE49-F238E27FC236}">
              <a16:creationId xmlns:a16="http://schemas.microsoft.com/office/drawing/2014/main" id="{E6685806-19AF-E80F-44BC-25E737D9C6C6}"/>
            </a:ext>
          </a:extLst>
        </xdr:cNvPr>
        <xdr:cNvSpPr txBox="1"/>
      </xdr:nvSpPr>
      <xdr:spPr>
        <a:xfrm>
          <a:off x="169334" y="677334"/>
          <a:ext cx="1049867" cy="378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602B5B-4FC0-418F-9615-72A11EFB3250}" type="TxLink">
            <a:rPr lang="en-US" sz="2000" b="1" i="0" u="none" strike="noStrike">
              <a:gradFill>
                <a:gsLst>
                  <a:gs pos="0">
                    <a:schemeClr val="bg1"/>
                  </a:gs>
                  <a:gs pos="80000">
                    <a:schemeClr val="bg1">
                      <a:lumMod val="85000"/>
                    </a:schemeClr>
                  </a:gs>
                </a:gsLst>
                <a:lin ang="5400000" scaled="1"/>
              </a:gradFill>
              <a:effectLst>
                <a:outerShdw blurRad="50800" dist="38100" dir="5400000" algn="t" rotWithShape="0">
                  <a:prstClr val="black">
                    <a:alpha val="40000"/>
                  </a:prstClr>
                </a:outerShdw>
              </a:effectLst>
              <a:latin typeface="Aptos Narrow"/>
            </a:rPr>
            <a:pPr/>
            <a:t>2,400</a:t>
          </a:fld>
          <a:endParaRPr lang="en-IN" sz="2000" b="1">
            <a:gradFill>
              <a:gsLst>
                <a:gs pos="0">
                  <a:schemeClr val="bg1"/>
                </a:gs>
                <a:gs pos="80000">
                  <a:schemeClr val="bg1">
                    <a:lumMod val="85000"/>
                  </a:schemeClr>
                </a:gs>
              </a:gsLst>
              <a:lin ang="5400000" scaled="1"/>
            </a:gradFill>
            <a:effectLst>
              <a:outerShdw blurRad="50800" dist="38100" dir="5400000" algn="t" rotWithShape="0">
                <a:prstClr val="black">
                  <a:alpha val="40000"/>
                </a:prstClr>
              </a:outerShdw>
            </a:effectLst>
          </a:endParaRPr>
        </a:p>
      </xdr:txBody>
    </xdr:sp>
    <xdr:clientData/>
  </xdr:twoCellAnchor>
  <xdr:twoCellAnchor>
    <xdr:from>
      <xdr:col>0</xdr:col>
      <xdr:colOff>169334</xdr:colOff>
      <xdr:row>7</xdr:row>
      <xdr:rowOff>47978</xdr:rowOff>
    </xdr:from>
    <xdr:to>
      <xdr:col>1</xdr:col>
      <xdr:colOff>1126065</xdr:colOff>
      <xdr:row>9</xdr:row>
      <xdr:rowOff>22577</xdr:rowOff>
    </xdr:to>
    <xdr:sp macro="" textlink="Sheet1!H4">
      <xdr:nvSpPr>
        <xdr:cNvPr id="7" name="TextBox 6">
          <a:extLst>
            <a:ext uri="{FF2B5EF4-FFF2-40B4-BE49-F238E27FC236}">
              <a16:creationId xmlns:a16="http://schemas.microsoft.com/office/drawing/2014/main" id="{3EAEC972-8920-4591-9B0E-1738FBDDDF95}"/>
            </a:ext>
          </a:extLst>
        </xdr:cNvPr>
        <xdr:cNvSpPr txBox="1"/>
      </xdr:nvSpPr>
      <xdr:spPr>
        <a:xfrm>
          <a:off x="169334" y="1351845"/>
          <a:ext cx="1244598" cy="347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4D91EC-5E2C-4A4F-88D2-EE65F86D0F3A}" type="TxLink">
            <a:rPr lang="en-US" sz="2000" b="1" i="0" u="none" strike="noStrike">
              <a:gradFill>
                <a:gsLst>
                  <a:gs pos="0">
                    <a:schemeClr val="bg1"/>
                  </a:gs>
                  <a:gs pos="80000">
                    <a:schemeClr val="bg1">
                      <a:lumMod val="8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11,997</a:t>
          </a:fld>
          <a:endParaRPr lang="en-IN" sz="2000" b="1" i="0" u="none" strike="noStrike">
            <a:gradFill>
              <a:gsLst>
                <a:gs pos="0">
                  <a:schemeClr val="bg1"/>
                </a:gs>
                <a:gs pos="80000">
                  <a:schemeClr val="bg1">
                    <a:lumMod val="8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169334</xdr:colOff>
      <xdr:row>10</xdr:row>
      <xdr:rowOff>110065</xdr:rowOff>
    </xdr:from>
    <xdr:to>
      <xdr:col>1</xdr:col>
      <xdr:colOff>1024466</xdr:colOff>
      <xdr:row>12</xdr:row>
      <xdr:rowOff>177801</xdr:rowOff>
    </xdr:to>
    <xdr:sp macro="" textlink="Sheet1!I4">
      <xdr:nvSpPr>
        <xdr:cNvPr id="8" name="TextBox 7">
          <a:extLst>
            <a:ext uri="{FF2B5EF4-FFF2-40B4-BE49-F238E27FC236}">
              <a16:creationId xmlns:a16="http://schemas.microsoft.com/office/drawing/2014/main" id="{D885260A-6ABF-4CA2-8FD2-3DE41B569C26}"/>
            </a:ext>
          </a:extLst>
        </xdr:cNvPr>
        <xdr:cNvSpPr txBox="1"/>
      </xdr:nvSpPr>
      <xdr:spPr>
        <a:xfrm>
          <a:off x="169334" y="1972732"/>
          <a:ext cx="1142999" cy="440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301451-2C29-466E-B610-CEC3A6911C33}" type="TxLink">
            <a:rPr lang="en-US" sz="2000" b="1" i="0" u="none" strike="noStrike">
              <a:gradFill>
                <a:gsLst>
                  <a:gs pos="0">
                    <a:schemeClr val="bg1"/>
                  </a:gs>
                  <a:gs pos="80000">
                    <a:schemeClr val="bg1">
                      <a:lumMod val="8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$649.0k</a:t>
          </a:fld>
          <a:endParaRPr lang="en-IN" sz="2000" b="1" i="0" u="none" strike="noStrike">
            <a:gradFill>
              <a:gsLst>
                <a:gs pos="0">
                  <a:schemeClr val="bg1"/>
                </a:gs>
                <a:gs pos="80000">
                  <a:schemeClr val="bg1">
                    <a:lumMod val="8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169334</xdr:colOff>
      <xdr:row>14</xdr:row>
      <xdr:rowOff>79022</xdr:rowOff>
    </xdr:from>
    <xdr:to>
      <xdr:col>1</xdr:col>
      <xdr:colOff>965200</xdr:colOff>
      <xdr:row>16</xdr:row>
      <xdr:rowOff>11289</xdr:rowOff>
    </xdr:to>
    <xdr:sp macro="" textlink="Sheet1!J4">
      <xdr:nvSpPr>
        <xdr:cNvPr id="9" name="TextBox 8">
          <a:extLst>
            <a:ext uri="{FF2B5EF4-FFF2-40B4-BE49-F238E27FC236}">
              <a16:creationId xmlns:a16="http://schemas.microsoft.com/office/drawing/2014/main" id="{D591ACE5-C03D-4961-A0E7-F66453455A86}"/>
            </a:ext>
          </a:extLst>
        </xdr:cNvPr>
        <xdr:cNvSpPr txBox="1"/>
      </xdr:nvSpPr>
      <xdr:spPr>
        <a:xfrm>
          <a:off x="169334" y="2686755"/>
          <a:ext cx="1083733"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0290865-478F-412A-97AF-78E480DD2349}" type="TxLink">
            <a:rPr lang="en-US" sz="2000" b="1" i="0" u="none" strike="noStrike">
              <a:gradFill>
                <a:gsLst>
                  <a:gs pos="0">
                    <a:schemeClr val="bg1"/>
                  </a:gs>
                  <a:gs pos="80000">
                    <a:schemeClr val="bg1">
                      <a:lumMod val="8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4.0</a:t>
          </a:fld>
          <a:endParaRPr lang="en-IN" sz="2000" b="1" i="0" u="none" strike="noStrike">
            <a:gradFill>
              <a:gsLst>
                <a:gs pos="0">
                  <a:schemeClr val="bg1"/>
                </a:gs>
                <a:gs pos="80000">
                  <a:schemeClr val="bg1">
                    <a:lumMod val="8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169334</xdr:colOff>
      <xdr:row>18</xdr:row>
      <xdr:rowOff>16932</xdr:rowOff>
    </xdr:from>
    <xdr:to>
      <xdr:col>1</xdr:col>
      <xdr:colOff>702733</xdr:colOff>
      <xdr:row>20</xdr:row>
      <xdr:rowOff>0</xdr:rowOff>
    </xdr:to>
    <xdr:sp macro="" textlink="Sheet1!K4">
      <xdr:nvSpPr>
        <xdr:cNvPr id="10" name="TextBox 9">
          <a:extLst>
            <a:ext uri="{FF2B5EF4-FFF2-40B4-BE49-F238E27FC236}">
              <a16:creationId xmlns:a16="http://schemas.microsoft.com/office/drawing/2014/main" id="{14B637D2-E1B5-430C-ADF7-8CC5954A76FF}"/>
            </a:ext>
          </a:extLst>
        </xdr:cNvPr>
        <xdr:cNvSpPr txBox="1"/>
      </xdr:nvSpPr>
      <xdr:spPr>
        <a:xfrm>
          <a:off x="169334" y="3369732"/>
          <a:ext cx="821266" cy="3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2CF28EF-7C70-4E7D-9D39-63F0AC1A2566}" type="TxLink">
            <a:rPr lang="en-US" sz="2000" b="1" i="0" u="none" strike="noStrike">
              <a:gradFill>
                <a:gsLst>
                  <a:gs pos="0">
                    <a:schemeClr val="bg1"/>
                  </a:gs>
                  <a:gs pos="80000">
                    <a:schemeClr val="bg1">
                      <a:lumMod val="8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2.3</a:t>
          </a:fld>
          <a:endParaRPr lang="en-IN" sz="2000" b="1" i="0" u="none" strike="noStrike">
            <a:gradFill>
              <a:gsLst>
                <a:gs pos="0">
                  <a:schemeClr val="bg1"/>
                </a:gs>
                <a:gs pos="80000">
                  <a:schemeClr val="bg1">
                    <a:lumMod val="8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169334</xdr:colOff>
      <xdr:row>2</xdr:row>
      <xdr:rowOff>84669</xdr:rowOff>
    </xdr:from>
    <xdr:to>
      <xdr:col>1</xdr:col>
      <xdr:colOff>668867</xdr:colOff>
      <xdr:row>3</xdr:row>
      <xdr:rowOff>169334</xdr:rowOff>
    </xdr:to>
    <xdr:sp macro="" textlink="">
      <xdr:nvSpPr>
        <xdr:cNvPr id="11" name="TextBox 10">
          <a:extLst>
            <a:ext uri="{FF2B5EF4-FFF2-40B4-BE49-F238E27FC236}">
              <a16:creationId xmlns:a16="http://schemas.microsoft.com/office/drawing/2014/main" id="{6037C34E-D728-374C-2F32-BEB8B888479F}"/>
            </a:ext>
          </a:extLst>
        </xdr:cNvPr>
        <xdr:cNvSpPr txBox="1"/>
      </xdr:nvSpPr>
      <xdr:spPr>
        <a:xfrm>
          <a:off x="169334" y="457202"/>
          <a:ext cx="787400" cy="270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aseline="0">
              <a:solidFill>
                <a:schemeClr val="dk1"/>
              </a:solidFill>
              <a:effectLst/>
              <a:latin typeface="+mn-lt"/>
              <a:ea typeface="+mn-ea"/>
              <a:cs typeface="+mn-cs"/>
            </a:rPr>
            <a:t>🛒 </a:t>
          </a:r>
          <a:r>
            <a:rPr lang="en-IN" sz="1100">
              <a:solidFill>
                <a:schemeClr val="bg1"/>
              </a:solidFill>
            </a:rPr>
            <a:t>Orders</a:t>
          </a:r>
          <a:r>
            <a:rPr lang="en-IN" sz="1100" baseline="0"/>
            <a:t> </a:t>
          </a:r>
          <a:endParaRPr lang="en-IN">
            <a:effectLst/>
          </a:endParaRPr>
        </a:p>
      </xdr:txBody>
    </xdr:sp>
    <xdr:clientData/>
  </xdr:twoCellAnchor>
  <xdr:twoCellAnchor>
    <xdr:from>
      <xdr:col>0</xdr:col>
      <xdr:colOff>169334</xdr:colOff>
      <xdr:row>5</xdr:row>
      <xdr:rowOff>174978</xdr:rowOff>
    </xdr:from>
    <xdr:to>
      <xdr:col>1</xdr:col>
      <xdr:colOff>1024466</xdr:colOff>
      <xdr:row>7</xdr:row>
      <xdr:rowOff>47978</xdr:rowOff>
    </xdr:to>
    <xdr:sp macro="" textlink="">
      <xdr:nvSpPr>
        <xdr:cNvPr id="16" name="TextBox 15">
          <a:extLst>
            <a:ext uri="{FF2B5EF4-FFF2-40B4-BE49-F238E27FC236}">
              <a16:creationId xmlns:a16="http://schemas.microsoft.com/office/drawing/2014/main" id="{C3DF8737-CFEC-AEDF-25DC-344468D1B66A}"/>
            </a:ext>
          </a:extLst>
        </xdr:cNvPr>
        <xdr:cNvSpPr txBox="1"/>
      </xdr:nvSpPr>
      <xdr:spPr>
        <a:xfrm>
          <a:off x="169334" y="1106311"/>
          <a:ext cx="1142999" cy="24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r>
            <a:rPr lang="en-IN" sz="1100" baseline="0"/>
            <a:t> </a:t>
          </a:r>
          <a:r>
            <a:rPr lang="en-IN" sz="1100" baseline="0">
              <a:solidFill>
                <a:schemeClr val="bg1"/>
              </a:solidFill>
            </a:rPr>
            <a:t>Quantitiy</a:t>
          </a:r>
        </a:p>
      </xdr:txBody>
    </xdr:sp>
    <xdr:clientData/>
  </xdr:twoCellAnchor>
  <xdr:twoCellAnchor>
    <xdr:from>
      <xdr:col>0</xdr:col>
      <xdr:colOff>169334</xdr:colOff>
      <xdr:row>9</xdr:row>
      <xdr:rowOff>42333</xdr:rowOff>
    </xdr:from>
    <xdr:to>
      <xdr:col>1</xdr:col>
      <xdr:colOff>914400</xdr:colOff>
      <xdr:row>11</xdr:row>
      <xdr:rowOff>8466</xdr:rowOff>
    </xdr:to>
    <xdr:sp macro="" textlink="">
      <xdr:nvSpPr>
        <xdr:cNvPr id="19" name="TextBox 18">
          <a:extLst>
            <a:ext uri="{FF2B5EF4-FFF2-40B4-BE49-F238E27FC236}">
              <a16:creationId xmlns:a16="http://schemas.microsoft.com/office/drawing/2014/main" id="{E07B80BB-2296-1497-A314-FAE2A306BA5C}"/>
            </a:ext>
          </a:extLst>
        </xdr:cNvPr>
        <xdr:cNvSpPr txBox="1"/>
      </xdr:nvSpPr>
      <xdr:spPr>
        <a:xfrm>
          <a:off x="169334" y="1718733"/>
          <a:ext cx="1032933" cy="338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a:solidFill>
                <a:schemeClr val="bg1"/>
              </a:solidFill>
            </a:rPr>
            <a:t>Amount</a:t>
          </a:r>
        </a:p>
      </xdr:txBody>
    </xdr:sp>
    <xdr:clientData/>
  </xdr:twoCellAnchor>
  <xdr:twoCellAnchor>
    <xdr:from>
      <xdr:col>0</xdr:col>
      <xdr:colOff>169334</xdr:colOff>
      <xdr:row>13</xdr:row>
      <xdr:rowOff>67733</xdr:rowOff>
    </xdr:from>
    <xdr:to>
      <xdr:col>1</xdr:col>
      <xdr:colOff>931334</xdr:colOff>
      <xdr:row>15</xdr:row>
      <xdr:rowOff>59266</xdr:rowOff>
    </xdr:to>
    <xdr:sp macro="" textlink="">
      <xdr:nvSpPr>
        <xdr:cNvPr id="20" name="TextBox 19">
          <a:extLst>
            <a:ext uri="{FF2B5EF4-FFF2-40B4-BE49-F238E27FC236}">
              <a16:creationId xmlns:a16="http://schemas.microsoft.com/office/drawing/2014/main" id="{E777C533-CE16-ED78-D8F7-3735F93E62D8}"/>
            </a:ext>
          </a:extLst>
        </xdr:cNvPr>
        <xdr:cNvSpPr txBox="1"/>
      </xdr:nvSpPr>
      <xdr:spPr>
        <a:xfrm>
          <a:off x="169334" y="2489200"/>
          <a:ext cx="1049867" cy="364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solidFill>
                <a:schemeClr val="bg1"/>
              </a:solidFill>
            </a:rPr>
            <a:t>⭐Avg.</a:t>
          </a:r>
          <a:r>
            <a:rPr lang="en-IN" sz="1100" baseline="0">
              <a:ln>
                <a:noFill/>
              </a:ln>
              <a:solidFill>
                <a:schemeClr val="bg1"/>
              </a:solidFill>
            </a:rPr>
            <a:t> rating</a:t>
          </a:r>
          <a:endParaRPr lang="en-IN" sz="1100">
            <a:ln>
              <a:noFill/>
            </a:ln>
            <a:solidFill>
              <a:schemeClr val="bg1"/>
            </a:solidFill>
          </a:endParaRPr>
        </a:p>
      </xdr:txBody>
    </xdr:sp>
    <xdr:clientData/>
  </xdr:twoCellAnchor>
  <xdr:twoCellAnchor>
    <xdr:from>
      <xdr:col>0</xdr:col>
      <xdr:colOff>169334</xdr:colOff>
      <xdr:row>16</xdr:row>
      <xdr:rowOff>183444</xdr:rowOff>
    </xdr:from>
    <xdr:to>
      <xdr:col>2</xdr:col>
      <xdr:colOff>42334</xdr:colOff>
      <xdr:row>18</xdr:row>
      <xdr:rowOff>115711</xdr:rowOff>
    </xdr:to>
    <xdr:sp macro="" textlink="">
      <xdr:nvSpPr>
        <xdr:cNvPr id="21" name="TextBox 20">
          <a:extLst>
            <a:ext uri="{FF2B5EF4-FFF2-40B4-BE49-F238E27FC236}">
              <a16:creationId xmlns:a16="http://schemas.microsoft.com/office/drawing/2014/main" id="{71C3E7CE-C734-20D1-5CA7-F977FD99AE41}"/>
            </a:ext>
          </a:extLst>
        </xdr:cNvPr>
        <xdr:cNvSpPr txBox="1"/>
      </xdr:nvSpPr>
      <xdr:spPr>
        <a:xfrm>
          <a:off x="169334" y="3163711"/>
          <a:ext cx="1473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Days to Deliver</a:t>
          </a:r>
        </a:p>
      </xdr:txBody>
    </xdr:sp>
    <xdr:clientData/>
  </xdr:twoCellAnchor>
  <xdr:twoCellAnchor>
    <xdr:from>
      <xdr:col>16</xdr:col>
      <xdr:colOff>1</xdr:colOff>
      <xdr:row>3</xdr:row>
      <xdr:rowOff>0</xdr:rowOff>
    </xdr:from>
    <xdr:to>
      <xdr:col>28</xdr:col>
      <xdr:colOff>0</xdr:colOff>
      <xdr:row>19</xdr:row>
      <xdr:rowOff>0</xdr:rowOff>
    </xdr:to>
    <xdr:sp macro="" textlink="">
      <xdr:nvSpPr>
        <xdr:cNvPr id="34" name="Rectangle 33">
          <a:extLst>
            <a:ext uri="{FF2B5EF4-FFF2-40B4-BE49-F238E27FC236}">
              <a16:creationId xmlns:a16="http://schemas.microsoft.com/office/drawing/2014/main" id="{3244B2A5-8453-59A4-9ECB-51F66ECB8F9C}"/>
            </a:ext>
          </a:extLst>
        </xdr:cNvPr>
        <xdr:cNvSpPr/>
      </xdr:nvSpPr>
      <xdr:spPr>
        <a:xfrm>
          <a:off x="9822657" y="535781"/>
          <a:ext cx="7286624" cy="2857500"/>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65000"/>
                  <a:lumOff val="35000"/>
                </a:schemeClr>
              </a:solidFill>
            </a:rPr>
            <a:t>How</a:t>
          </a:r>
          <a:r>
            <a:rPr lang="en-IN" sz="1600" b="1" baseline="0">
              <a:solidFill>
                <a:schemeClr val="tx1">
                  <a:lumMod val="65000"/>
                  <a:lumOff val="35000"/>
                </a:schemeClr>
              </a:solidFill>
            </a:rPr>
            <a:t> they like to buy ?</a:t>
          </a:r>
          <a:endParaRPr lang="en-IN" sz="1600" b="1">
            <a:solidFill>
              <a:schemeClr val="tx1">
                <a:lumMod val="65000"/>
                <a:lumOff val="35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18</xdr:col>
          <xdr:colOff>404812</xdr:colOff>
          <xdr:row>5</xdr:row>
          <xdr:rowOff>71438</xdr:rowOff>
        </xdr:from>
        <xdr:to>
          <xdr:col>26</xdr:col>
          <xdr:colOff>428624</xdr:colOff>
          <xdr:row>17</xdr:row>
          <xdr:rowOff>134749</xdr:rowOff>
        </xdr:to>
        <xdr:pic>
          <xdr:nvPicPr>
            <xdr:cNvPr id="33" name="Picture 32">
              <a:extLst>
                <a:ext uri="{FF2B5EF4-FFF2-40B4-BE49-F238E27FC236}">
                  <a16:creationId xmlns:a16="http://schemas.microsoft.com/office/drawing/2014/main" id="{B3BB0F32-C1B7-538F-496E-070F475093A1}"/>
                </a:ext>
              </a:extLst>
            </xdr:cNvPr>
            <xdr:cNvPicPr>
              <a:picLocks noChangeAspect="1" noChangeArrowheads="1"/>
              <a:extLst>
                <a:ext uri="{84589F7E-364E-4C9E-8A38-B11213B215E9}">
                  <a14:cameraTool cellRange="Sheet4!$H$4:$L$9" spid="_x0000_s6192"/>
                </a:ext>
              </a:extLst>
            </xdr:cNvPicPr>
          </xdr:nvPicPr>
          <xdr:blipFill>
            <a:blip xmlns:r="http://schemas.openxmlformats.org/officeDocument/2006/relationships" r:embed="rId1"/>
            <a:srcRect/>
            <a:stretch>
              <a:fillRect/>
            </a:stretch>
          </xdr:blipFill>
          <xdr:spPr bwMode="auto">
            <a:xfrm>
              <a:off x="11441906" y="964407"/>
              <a:ext cx="4881562" cy="220643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0</xdr:colOff>
      <xdr:row>22</xdr:row>
      <xdr:rowOff>119062</xdr:rowOff>
    </xdr:from>
    <xdr:to>
      <xdr:col>15</xdr:col>
      <xdr:colOff>0</xdr:colOff>
      <xdr:row>56</xdr:row>
      <xdr:rowOff>86406</xdr:rowOff>
    </xdr:to>
    <xdr:graphicFrame macro="">
      <xdr:nvGraphicFramePr>
        <xdr:cNvPr id="43" name="Chart 42">
          <a:extLst>
            <a:ext uri="{FF2B5EF4-FFF2-40B4-BE49-F238E27FC236}">
              <a16:creationId xmlns:a16="http://schemas.microsoft.com/office/drawing/2014/main" id="{4D80688D-4EA8-43D5-8A0D-FE750798D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xdr:colOff>
      <xdr:row>22</xdr:row>
      <xdr:rowOff>142874</xdr:rowOff>
    </xdr:from>
    <xdr:to>
      <xdr:col>28</xdr:col>
      <xdr:colOff>0</xdr:colOff>
      <xdr:row>57</xdr:row>
      <xdr:rowOff>5767</xdr:rowOff>
    </xdr:to>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E46B7D75-CC1C-4899-918C-CBEED36F4F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822657" y="4071937"/>
              <a:ext cx="7286624" cy="61136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571500</xdr:colOff>
      <xdr:row>30</xdr:row>
      <xdr:rowOff>11680</xdr:rowOff>
    </xdr:from>
    <xdr:to>
      <xdr:col>27</xdr:col>
      <xdr:colOff>464343</xdr:colOff>
      <xdr:row>42</xdr:row>
      <xdr:rowOff>119062</xdr:rowOff>
    </xdr:to>
    <mc:AlternateContent xmlns:mc="http://schemas.openxmlformats.org/markup-compatibility/2006">
      <mc:Choice xmlns:cx4="http://schemas.microsoft.com/office/drawing/2016/5/10/chartex" Requires="cx4">
        <xdr:graphicFrame macro="">
          <xdr:nvGraphicFramePr>
            <xdr:cNvPr id="46" name="Chart 45">
              <a:extLst>
                <a:ext uri="{FF2B5EF4-FFF2-40B4-BE49-F238E27FC236}">
                  <a16:creationId xmlns:a16="http://schemas.microsoft.com/office/drawing/2014/main" id="{53F79C20-9CD6-4CD2-936D-DB3662A00A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5251906" y="5369493"/>
              <a:ext cx="1714500" cy="22505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0</xdr:colOff>
      <xdr:row>3</xdr:row>
      <xdr:rowOff>0</xdr:rowOff>
    </xdr:from>
    <xdr:to>
      <xdr:col>15</xdr:col>
      <xdr:colOff>0</xdr:colOff>
      <xdr:row>19</xdr:row>
      <xdr:rowOff>35718</xdr:rowOff>
    </xdr:to>
    <xdr:graphicFrame macro="">
      <xdr:nvGraphicFramePr>
        <xdr:cNvPr id="3" name="Chart 2">
          <a:extLst>
            <a:ext uri="{FF2B5EF4-FFF2-40B4-BE49-F238E27FC236}">
              <a16:creationId xmlns:a16="http://schemas.microsoft.com/office/drawing/2014/main" id="{13FA14A7-1AA4-427D-AC1C-D48026B67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0</xdr:colOff>
      <xdr:row>3</xdr:row>
      <xdr:rowOff>1</xdr:rowOff>
    </xdr:from>
    <xdr:to>
      <xdr:col>37</xdr:col>
      <xdr:colOff>0</xdr:colOff>
      <xdr:row>19</xdr:row>
      <xdr:rowOff>1</xdr:rowOff>
    </xdr:to>
    <xdr:graphicFrame macro="">
      <xdr:nvGraphicFramePr>
        <xdr:cNvPr id="12" name="Chart 11">
          <a:extLst>
            <a:ext uri="{FF2B5EF4-FFF2-40B4-BE49-F238E27FC236}">
              <a16:creationId xmlns:a16="http://schemas.microsoft.com/office/drawing/2014/main" id="{70CE6430-AE75-4DC9-8397-5C2BC2292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607218</xdr:colOff>
      <xdr:row>45</xdr:row>
      <xdr:rowOff>132630</xdr:rowOff>
    </xdr:from>
    <xdr:to>
      <xdr:col>12</xdr:col>
      <xdr:colOff>607218</xdr:colOff>
      <xdr:row>55</xdr:row>
      <xdr:rowOff>119064</xdr:rowOff>
    </xdr:to>
    <xdr:graphicFrame macro="">
      <xdr:nvGraphicFramePr>
        <xdr:cNvPr id="13" name="Chart 12">
          <a:extLst>
            <a:ext uri="{FF2B5EF4-FFF2-40B4-BE49-F238E27FC236}">
              <a16:creationId xmlns:a16="http://schemas.microsoft.com/office/drawing/2014/main" id="{40239198-DAAD-46FD-8D01-1DE179117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0</xdr:colOff>
      <xdr:row>23</xdr:row>
      <xdr:rowOff>26582</xdr:rowOff>
    </xdr:from>
    <xdr:to>
      <xdr:col>37</xdr:col>
      <xdr:colOff>0</xdr:colOff>
      <xdr:row>37</xdr:row>
      <xdr:rowOff>164805</xdr:rowOff>
    </xdr:to>
    <xdr:graphicFrame macro="">
      <xdr:nvGraphicFramePr>
        <xdr:cNvPr id="14" name="Chart 13">
          <a:extLst>
            <a:ext uri="{FF2B5EF4-FFF2-40B4-BE49-F238E27FC236}">
              <a16:creationId xmlns:a16="http://schemas.microsoft.com/office/drawing/2014/main" id="{F5134E9B-97E2-4ED7-8FFF-7033657A6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0</xdr:colOff>
      <xdr:row>41</xdr:row>
      <xdr:rowOff>71437</xdr:rowOff>
    </xdr:from>
    <xdr:to>
      <xdr:col>37</xdr:col>
      <xdr:colOff>0</xdr:colOff>
      <xdr:row>56</xdr:row>
      <xdr:rowOff>158934</xdr:rowOff>
    </xdr:to>
    <xdr:graphicFrame macro="">
      <xdr:nvGraphicFramePr>
        <xdr:cNvPr id="15" name="Chart 14">
          <a:extLst>
            <a:ext uri="{FF2B5EF4-FFF2-40B4-BE49-F238E27FC236}">
              <a16:creationId xmlns:a16="http://schemas.microsoft.com/office/drawing/2014/main" id="{3298C818-FAFE-4835-8486-80D533F18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142067</xdr:colOff>
      <xdr:row>23</xdr:row>
      <xdr:rowOff>2526</xdr:rowOff>
    </xdr:from>
    <xdr:to>
      <xdr:col>2</xdr:col>
      <xdr:colOff>232475</xdr:colOff>
      <xdr:row>33</xdr:row>
      <xdr:rowOff>154984</xdr:rowOff>
    </xdr:to>
    <mc:AlternateContent xmlns:mc="http://schemas.openxmlformats.org/markup-compatibility/2006" xmlns:a14="http://schemas.microsoft.com/office/drawing/2010/main">
      <mc:Choice Requires="a14">
        <xdr:graphicFrame macro="">
          <xdr:nvGraphicFramePr>
            <xdr:cNvPr id="17" name="Order Mode 1">
              <a:extLst>
                <a:ext uri="{FF2B5EF4-FFF2-40B4-BE49-F238E27FC236}">
                  <a16:creationId xmlns:a16="http://schemas.microsoft.com/office/drawing/2014/main" id="{0D6111FA-FD40-4982-B95F-BED00206747B}"/>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142067" y="4046988"/>
              <a:ext cx="1687677" cy="1910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105474</xdr:colOff>
      <xdr:row>36</xdr:row>
      <xdr:rowOff>12916</xdr:rowOff>
    </xdr:from>
    <xdr:to>
      <xdr:col>2</xdr:col>
      <xdr:colOff>219560</xdr:colOff>
      <xdr:row>46</xdr:row>
      <xdr:rowOff>167898</xdr:rowOff>
    </xdr:to>
    <mc:AlternateContent xmlns:mc="http://schemas.openxmlformats.org/markup-compatibility/2006" xmlns:a14="http://schemas.microsoft.com/office/drawing/2010/main">
      <mc:Choice Requires="a14">
        <xdr:graphicFrame macro="">
          <xdr:nvGraphicFramePr>
            <xdr:cNvPr id="18" name="Gender Value 1">
              <a:extLst>
                <a:ext uri="{FF2B5EF4-FFF2-40B4-BE49-F238E27FC236}">
                  <a16:creationId xmlns:a16="http://schemas.microsoft.com/office/drawing/2014/main" id="{7C972AF5-A809-46CD-8EAD-A9A5A6856FC6}"/>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105474" y="6343378"/>
              <a:ext cx="1711355" cy="1913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1</xdr:col>
      <xdr:colOff>1256470</xdr:colOff>
      <xdr:row>2</xdr:row>
      <xdr:rowOff>97153</xdr:rowOff>
    </xdr:to>
    <xdr:pic>
      <xdr:nvPicPr>
        <xdr:cNvPr id="6" name="Picture 5">
          <a:extLst>
            <a:ext uri="{FF2B5EF4-FFF2-40B4-BE49-F238E27FC236}">
              <a16:creationId xmlns:a16="http://schemas.microsoft.com/office/drawing/2014/main" id="{9C04D693-0B89-4D03-86FC-F318441C2BD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0" y="0"/>
          <a:ext cx="1548570" cy="45275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mshi Pulluri" refreshedDate="46060.460077662035" createdVersion="8" refreshedVersion="8" minRefreshableVersion="3" recordCount="2400" xr:uid="{0FF728D9-DACB-465A-9F2C-405BC10F7F2C}">
  <cacheSource type="worksheet">
    <worksheetSource name="orders"/>
  </cacheSource>
  <cacheFields count="20">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ount="96">
        <d v="2025-01-06T00:00:00"/>
        <d v="2025-01-03T00:00:00"/>
        <d v="2025-01-04T00:00:00"/>
        <d v="2025-01-02T00:00:00"/>
        <d v="2025-01-07T00:00:00"/>
        <d v="2025-01-05T00:00:00"/>
        <d v="2025-01-08T00:00:00"/>
        <d v="2025-01-11T00:00:00"/>
        <d v="2025-01-09T00:00:00"/>
        <d v="2025-01-10T00:00:00"/>
        <d v="2025-01-17T00:00:00"/>
        <d v="2025-01-15T00:00:00"/>
        <d v="2025-01-12T00:00:00"/>
        <d v="2025-01-18T00:00:00"/>
        <d v="2025-01-13T00:00:00"/>
        <d v="2025-01-16T00:00:00"/>
        <d v="2025-01-14T00:00:00"/>
        <d v="2025-01-25T00:00:00"/>
        <d v="2025-01-19T00:00:00"/>
        <d v="2025-01-26T00:00:00"/>
        <d v="2025-01-21T00:00:00"/>
        <d v="2025-01-20T00:00:00"/>
        <d v="2025-01-27T00:00:00"/>
        <d v="2025-01-23T00:00:00"/>
        <d v="2025-01-22T00:00:00"/>
        <d v="2025-01-24T00:00:00"/>
        <d v="2025-01-30T00:00:00"/>
        <d v="2025-01-31T00:00:00"/>
        <d v="2025-01-29T00:00:00"/>
        <d v="2025-01-28T00:00:00"/>
        <d v="2025-02-01T00:00:00"/>
        <d v="2025-02-07T00:00:00"/>
        <d v="2025-02-04T00:00:00"/>
        <d v="2025-02-02T00:00:00"/>
        <d v="2025-02-03T00:00:00"/>
        <d v="2025-02-09T00:00:00"/>
        <d v="2025-02-05T00:00:00"/>
        <d v="2025-02-10T00:00:00"/>
        <d v="2025-02-06T00:00:00"/>
        <d v="2025-02-08T00:00:00"/>
        <d v="2025-02-11T00:00:00"/>
        <d v="2025-02-16T00:00:00"/>
        <d v="2025-02-14T00:00:00"/>
        <d v="2025-02-17T00:00:00"/>
        <d v="2025-02-12T00:00:00"/>
        <d v="2025-02-13T00:00:00"/>
        <d v="2025-02-19T00:00:00"/>
        <d v="2025-02-21T00:00:00"/>
        <d v="2025-02-15T00:00:00"/>
        <d v="2025-02-20T00:00:00"/>
        <d v="2025-02-18T00:00:00"/>
        <d v="2025-02-25T00:00:00"/>
        <d v="2025-02-26T00:00:00"/>
        <d v="2025-02-27T00:00:00"/>
        <d v="2025-02-24T00:00:00"/>
        <d v="2025-02-23T00:00:00"/>
        <d v="2025-02-22T00:00:00"/>
        <d v="2025-03-02T00:00:00"/>
        <d v="2025-02-28T00:00:00"/>
        <d v="2025-03-01T00:00:00"/>
        <d v="2025-03-09T00:00:00"/>
        <d v="2025-03-04T00:00:00"/>
        <d v="2025-03-03T00:00:00"/>
        <d v="2025-03-05T00:00:00"/>
        <d v="2025-03-13T00:00:00"/>
        <d v="2025-03-10T00:00:00"/>
        <d v="2025-03-06T00:00:00"/>
        <d v="2025-03-14T00:00:00"/>
        <d v="2025-03-07T00:00:00"/>
        <d v="2025-03-16T00:00:00"/>
        <d v="2025-03-08T00:00:00"/>
        <d v="2025-03-11T00:00:00"/>
        <d v="2025-03-15T00:00:00"/>
        <d v="2025-03-18T00:00:00"/>
        <d v="2025-03-12T00:00:00"/>
        <d v="2025-03-21T00:00:00"/>
        <d v="2025-03-17T00:00:00"/>
        <d v="2025-03-24T00:00:00"/>
        <d v="2025-03-20T00:00:00"/>
        <d v="2025-03-23T00:00:00"/>
        <d v="2025-03-22T00:00:00"/>
        <d v="2025-03-26T00:00:00"/>
        <d v="2025-03-25T00:00:00"/>
        <d v="2025-03-19T00:00:00"/>
        <d v="2025-04-01T00:00:00"/>
        <d v="2025-04-03T00:00:00"/>
        <d v="2025-03-28T00:00:00"/>
        <d v="2025-03-27T00:00:00"/>
        <d v="2025-03-31T00:00:00"/>
        <d v="2025-03-30T00:00:00"/>
        <d v="2025-03-29T00:00:00"/>
        <d v="2025-04-09T00:00:00"/>
        <d v="2025-04-02T00:00:00"/>
        <d v="2025-04-05T00:00:00"/>
        <d v="2025-04-10T00:00:00"/>
        <d v="2025-04-04T00:00:00"/>
      </sharedItems>
      <fieldGroup par="19"/>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6"/>
          <x v="5"/>
          <x v="5"/>
          <x v="5"/>
          <x v="6"/>
          <x v="6"/>
          <x v="3"/>
          <x v="5"/>
          <x v="6"/>
          <x v="4"/>
          <x v="6"/>
          <x v="5"/>
          <x v="5"/>
          <x v="5"/>
          <x v="5"/>
          <x v="5"/>
          <x v="5"/>
          <x v="5"/>
          <x v="5"/>
          <x v="5"/>
          <x v="5"/>
          <x v="5"/>
          <x v="5"/>
          <x v="5"/>
          <x v="5"/>
          <x v="5"/>
          <x v="5"/>
          <x v="5"/>
          <x v="5"/>
          <x v="5"/>
          <x v="5"/>
          <x v="5"/>
          <x v="5"/>
          <x v="5"/>
          <x v="5"/>
          <x v="5"/>
          <x v="5"/>
          <x v="5"/>
          <x v="5"/>
          <x v="5"/>
          <x v="5"/>
          <x v="5"/>
          <x v="5"/>
          <x v="5"/>
          <x v="5"/>
        </discretePr>
        <groupItems count="7">
          <n v="1"/>
          <n v="2"/>
          <n v="3"/>
          <n v="5"/>
          <n v="4"/>
          <s v="Group2"/>
          <s v="Group1"/>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 name="Days (Ship Date)" numFmtId="0" databaseField="0">
      <fieldGroup base="6">
        <rangePr groupBy="days" startDate="2025-01-02T00:00:00" endDate="2025-04-11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4-2025"/>
        </groupItems>
      </fieldGroup>
    </cacheField>
    <cacheField name="Months (Ship Date)" numFmtId="0" databaseField="0">
      <fieldGroup base="6">
        <rangePr groupBy="months" startDate="2025-01-02T00:00:00" endDate="2025-04-11T00:00:00"/>
        <groupItems count="14">
          <s v="&lt;02-01-2025"/>
          <s v="Jan"/>
          <s v="Feb"/>
          <s v="Mar"/>
          <s v="Apr"/>
          <s v="May"/>
          <s v="Jun"/>
          <s v="Jul"/>
          <s v="Aug"/>
          <s v="Sep"/>
          <s v="Oct"/>
          <s v="Nov"/>
          <s v="Dec"/>
          <s v="&gt;11-04-2025"/>
        </groupItems>
      </fieldGroup>
    </cacheField>
  </cacheFields>
  <extLst>
    <ext xmlns:x14="http://schemas.microsoft.com/office/spreadsheetml/2009/9/main" uri="{725AE2AE-9491-48be-B2B4-4EB974FC3084}">
      <x14:pivotCacheDefinition pivotCacheId="1309844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x v="0"/>
    <x v="0"/>
    <x v="0"/>
    <x v="0"/>
    <x v="0"/>
    <x v="0"/>
    <x v="0"/>
    <x v="0"/>
    <x v="0"/>
  </r>
  <r>
    <s v="TX500002"/>
    <x v="1"/>
    <x v="1"/>
    <n v="30.6"/>
    <n v="61.2"/>
    <x v="0"/>
    <x v="1"/>
    <x v="1"/>
    <x v="0"/>
    <x v="0"/>
    <x v="0"/>
    <x v="1"/>
    <x v="1"/>
    <x v="0"/>
    <x v="1"/>
  </r>
  <r>
    <s v="TX500003"/>
    <x v="2"/>
    <x v="2"/>
    <n v="109.4"/>
    <n v="328.20000000000005"/>
    <x v="0"/>
    <x v="2"/>
    <x v="2"/>
    <x v="0"/>
    <x v="1"/>
    <x v="0"/>
    <x v="2"/>
    <x v="2"/>
    <x v="0"/>
    <x v="2"/>
  </r>
  <r>
    <s v="TX500004"/>
    <x v="3"/>
    <x v="3"/>
    <n v="37.700000000000003"/>
    <n v="263.90000000000003"/>
    <x v="0"/>
    <x v="3"/>
    <x v="2"/>
    <x v="0"/>
    <x v="0"/>
    <x v="0"/>
    <x v="2"/>
    <x v="3"/>
    <x v="0"/>
    <x v="2"/>
  </r>
  <r>
    <s v="TX500005"/>
    <x v="4"/>
    <x v="2"/>
    <n v="56.7"/>
    <n v="170.10000000000002"/>
    <x v="0"/>
    <x v="2"/>
    <x v="2"/>
    <x v="0"/>
    <x v="2"/>
    <x v="0"/>
    <x v="3"/>
    <x v="2"/>
    <x v="0"/>
    <x v="2"/>
  </r>
  <r>
    <s v="TX500006"/>
    <x v="1"/>
    <x v="4"/>
    <n v="83.5"/>
    <n v="1002"/>
    <x v="0"/>
    <x v="2"/>
    <x v="1"/>
    <x v="1"/>
    <x v="0"/>
    <x v="0"/>
    <x v="3"/>
    <x v="2"/>
    <x v="0"/>
    <x v="1"/>
  </r>
  <r>
    <s v="TX500007"/>
    <x v="5"/>
    <x v="0"/>
    <n v="55.3"/>
    <n v="55.3"/>
    <x v="0"/>
    <x v="3"/>
    <x v="2"/>
    <x v="0"/>
    <x v="0"/>
    <x v="0"/>
    <x v="3"/>
    <x v="3"/>
    <x v="0"/>
    <x v="2"/>
  </r>
  <r>
    <s v="TX500008"/>
    <x v="6"/>
    <x v="1"/>
    <n v="40.299999999999997"/>
    <n v="80.599999999999994"/>
    <x v="0"/>
    <x v="3"/>
    <x v="1"/>
    <x v="2"/>
    <x v="2"/>
    <x v="0"/>
    <x v="3"/>
    <x v="3"/>
    <x v="0"/>
    <x v="1"/>
  </r>
  <r>
    <s v="TX500009"/>
    <x v="7"/>
    <x v="5"/>
    <n v="35.700000000000003"/>
    <n v="392.70000000000005"/>
    <x v="0"/>
    <x v="3"/>
    <x v="2"/>
    <x v="0"/>
    <x v="0"/>
    <x v="0"/>
    <x v="3"/>
    <x v="3"/>
    <x v="0"/>
    <x v="2"/>
  </r>
  <r>
    <s v="TX500010"/>
    <x v="8"/>
    <x v="3"/>
    <n v="22.4"/>
    <n v="156.79999999999998"/>
    <x v="0"/>
    <x v="2"/>
    <x v="1"/>
    <x v="0"/>
    <x v="1"/>
    <x v="0"/>
    <x v="3"/>
    <x v="2"/>
    <x v="0"/>
    <x v="1"/>
  </r>
  <r>
    <s v="TX500011"/>
    <x v="9"/>
    <x v="1"/>
    <n v="54.4"/>
    <n v="108.8"/>
    <x v="0"/>
    <x v="4"/>
    <x v="2"/>
    <x v="0"/>
    <x v="0"/>
    <x v="0"/>
    <x v="3"/>
    <x v="4"/>
    <x v="0"/>
    <x v="2"/>
  </r>
  <r>
    <s v="TX500012"/>
    <x v="9"/>
    <x v="1"/>
    <n v="49"/>
    <n v="98"/>
    <x v="0"/>
    <x v="1"/>
    <x v="2"/>
    <x v="2"/>
    <x v="1"/>
    <x v="0"/>
    <x v="3"/>
    <x v="1"/>
    <x v="0"/>
    <x v="2"/>
  </r>
  <r>
    <s v="TX500013"/>
    <x v="5"/>
    <x v="3"/>
    <n v="118.6"/>
    <n v="830.19999999999993"/>
    <x v="0"/>
    <x v="5"/>
    <x v="2"/>
    <x v="1"/>
    <x v="0"/>
    <x v="0"/>
    <x v="4"/>
    <x v="5"/>
    <x v="0"/>
    <x v="2"/>
  </r>
  <r>
    <s v="TX500014"/>
    <x v="6"/>
    <x v="6"/>
    <n v="88.4"/>
    <n v="2386.8000000000002"/>
    <x v="0"/>
    <x v="6"/>
    <x v="1"/>
    <x v="3"/>
    <x v="0"/>
    <x v="0"/>
    <x v="5"/>
    <x v="6"/>
    <x v="0"/>
    <x v="1"/>
  </r>
  <r>
    <s v="TX500015"/>
    <x v="10"/>
    <x v="0"/>
    <n v="66.7"/>
    <n v="66.7"/>
    <x v="0"/>
    <x v="2"/>
    <x v="1"/>
    <x v="0"/>
    <x v="0"/>
    <x v="0"/>
    <x v="6"/>
    <x v="2"/>
    <x v="0"/>
    <x v="1"/>
  </r>
  <r>
    <s v="TX500016"/>
    <x v="9"/>
    <x v="7"/>
    <n v="30.9"/>
    <n v="309"/>
    <x v="0"/>
    <x v="3"/>
    <x v="1"/>
    <x v="1"/>
    <x v="2"/>
    <x v="0"/>
    <x v="6"/>
    <x v="3"/>
    <x v="0"/>
    <x v="1"/>
  </r>
  <r>
    <s v="TX500017"/>
    <x v="4"/>
    <x v="2"/>
    <n v="31.1"/>
    <n v="93.300000000000011"/>
    <x v="0"/>
    <x v="3"/>
    <x v="2"/>
    <x v="0"/>
    <x v="1"/>
    <x v="0"/>
    <x v="6"/>
    <x v="3"/>
    <x v="0"/>
    <x v="2"/>
  </r>
  <r>
    <s v="TX500018"/>
    <x v="7"/>
    <x v="2"/>
    <n v="36.6"/>
    <n v="109.80000000000001"/>
    <x v="0"/>
    <x v="2"/>
    <x v="2"/>
    <x v="0"/>
    <x v="0"/>
    <x v="0"/>
    <x v="7"/>
    <x v="2"/>
    <x v="0"/>
    <x v="2"/>
  </r>
  <r>
    <s v="TX500019"/>
    <x v="6"/>
    <x v="8"/>
    <n v="51.1"/>
    <n v="408.8"/>
    <x v="0"/>
    <x v="2"/>
    <x v="2"/>
    <x v="2"/>
    <x v="3"/>
    <x v="0"/>
    <x v="7"/>
    <x v="2"/>
    <x v="0"/>
    <x v="2"/>
  </r>
  <r>
    <s v="TX500020"/>
    <x v="9"/>
    <x v="0"/>
    <n v="25.2"/>
    <n v="25.2"/>
    <x v="0"/>
    <x v="3"/>
    <x v="2"/>
    <x v="1"/>
    <x v="2"/>
    <x v="0"/>
    <x v="8"/>
    <x v="3"/>
    <x v="0"/>
    <x v="2"/>
  </r>
  <r>
    <s v="TX500021"/>
    <x v="9"/>
    <x v="9"/>
    <n v="43.8"/>
    <n v="219"/>
    <x v="0"/>
    <x v="2"/>
    <x v="2"/>
    <x v="2"/>
    <x v="0"/>
    <x v="0"/>
    <x v="8"/>
    <x v="2"/>
    <x v="0"/>
    <x v="2"/>
  </r>
  <r>
    <s v="TX500022"/>
    <x v="8"/>
    <x v="4"/>
    <n v="46.7"/>
    <n v="560.40000000000009"/>
    <x v="0"/>
    <x v="3"/>
    <x v="2"/>
    <x v="1"/>
    <x v="1"/>
    <x v="0"/>
    <x v="8"/>
    <x v="3"/>
    <x v="0"/>
    <x v="2"/>
  </r>
  <r>
    <s v="TX500023"/>
    <x v="3"/>
    <x v="10"/>
    <n v="79.900000000000006"/>
    <n v="1518.1000000000001"/>
    <x v="0"/>
    <x v="3"/>
    <x v="1"/>
    <x v="0"/>
    <x v="2"/>
    <x v="0"/>
    <x v="8"/>
    <x v="3"/>
    <x v="0"/>
    <x v="1"/>
  </r>
  <r>
    <s v="TX500024"/>
    <x v="11"/>
    <x v="8"/>
    <n v="26.4"/>
    <n v="211.2"/>
    <x v="0"/>
    <x v="3"/>
    <x v="2"/>
    <x v="3"/>
    <x v="0"/>
    <x v="0"/>
    <x v="8"/>
    <x v="3"/>
    <x v="0"/>
    <x v="2"/>
  </r>
  <r>
    <s v="TX500025"/>
    <x v="12"/>
    <x v="8"/>
    <n v="88.8"/>
    <n v="710.4"/>
    <x v="0"/>
    <x v="3"/>
    <x v="2"/>
    <x v="4"/>
    <x v="0"/>
    <x v="0"/>
    <x v="8"/>
    <x v="3"/>
    <x v="0"/>
    <x v="2"/>
  </r>
  <r>
    <s v="TX500026"/>
    <x v="0"/>
    <x v="7"/>
    <n v="17.5"/>
    <n v="175"/>
    <x v="0"/>
    <x v="3"/>
    <x v="2"/>
    <x v="2"/>
    <x v="0"/>
    <x v="0"/>
    <x v="9"/>
    <x v="3"/>
    <x v="0"/>
    <x v="2"/>
  </r>
  <r>
    <s v="TX500027"/>
    <x v="1"/>
    <x v="11"/>
    <n v="38.700000000000003"/>
    <n v="348.3"/>
    <x v="0"/>
    <x v="2"/>
    <x v="1"/>
    <x v="1"/>
    <x v="0"/>
    <x v="0"/>
    <x v="10"/>
    <x v="2"/>
    <x v="0"/>
    <x v="1"/>
  </r>
  <r>
    <s v="TX500028"/>
    <x v="13"/>
    <x v="12"/>
    <n v="57.2"/>
    <n v="228.8"/>
    <x v="0"/>
    <x v="1"/>
    <x v="0"/>
    <x v="1"/>
    <x v="2"/>
    <x v="0"/>
    <x v="11"/>
    <x v="1"/>
    <x v="0"/>
    <x v="0"/>
  </r>
  <r>
    <s v="TX500029"/>
    <x v="6"/>
    <x v="9"/>
    <n v="50.9"/>
    <n v="254.5"/>
    <x v="0"/>
    <x v="4"/>
    <x v="0"/>
    <x v="1"/>
    <x v="2"/>
    <x v="0"/>
    <x v="12"/>
    <x v="4"/>
    <x v="0"/>
    <x v="0"/>
  </r>
  <r>
    <s v="TX500030"/>
    <x v="14"/>
    <x v="3"/>
    <n v="41"/>
    <n v="287"/>
    <x v="0"/>
    <x v="5"/>
    <x v="2"/>
    <x v="1"/>
    <x v="0"/>
    <x v="0"/>
    <x v="13"/>
    <x v="5"/>
    <x v="0"/>
    <x v="2"/>
  </r>
  <r>
    <s v="TX500031"/>
    <x v="8"/>
    <x v="3"/>
    <n v="19.100000000000001"/>
    <n v="133.70000000000002"/>
    <x v="0"/>
    <x v="5"/>
    <x v="1"/>
    <x v="0"/>
    <x v="2"/>
    <x v="0"/>
    <x v="14"/>
    <x v="5"/>
    <x v="0"/>
    <x v="1"/>
  </r>
  <r>
    <s v="TX500032"/>
    <x v="2"/>
    <x v="9"/>
    <n v="166.1"/>
    <n v="830.5"/>
    <x v="0"/>
    <x v="2"/>
    <x v="1"/>
    <x v="0"/>
    <x v="0"/>
    <x v="0"/>
    <x v="15"/>
    <x v="2"/>
    <x v="0"/>
    <x v="1"/>
  </r>
  <r>
    <s v="TX500033"/>
    <x v="4"/>
    <x v="2"/>
    <n v="29.9"/>
    <n v="89.699999999999989"/>
    <x v="0"/>
    <x v="3"/>
    <x v="1"/>
    <x v="3"/>
    <x v="0"/>
    <x v="0"/>
    <x v="3"/>
    <x v="3"/>
    <x v="0"/>
    <x v="1"/>
  </r>
  <r>
    <s v="TX500034"/>
    <x v="10"/>
    <x v="13"/>
    <n v="21.7"/>
    <n v="130.19999999999999"/>
    <x v="0"/>
    <x v="1"/>
    <x v="3"/>
    <x v="2"/>
    <x v="2"/>
    <x v="0"/>
    <x v="3"/>
    <x v="1"/>
    <x v="0"/>
    <x v="3"/>
  </r>
  <r>
    <s v="TX500035"/>
    <x v="11"/>
    <x v="1"/>
    <n v="32"/>
    <n v="64"/>
    <x v="0"/>
    <x v="2"/>
    <x v="1"/>
    <x v="0"/>
    <x v="2"/>
    <x v="0"/>
    <x v="3"/>
    <x v="2"/>
    <x v="0"/>
    <x v="1"/>
  </r>
  <r>
    <s v="TX500036"/>
    <x v="8"/>
    <x v="1"/>
    <n v="15.8"/>
    <n v="31.6"/>
    <x v="0"/>
    <x v="3"/>
    <x v="1"/>
    <x v="4"/>
    <x v="2"/>
    <x v="0"/>
    <x v="3"/>
    <x v="3"/>
    <x v="0"/>
    <x v="1"/>
  </r>
  <r>
    <s v="TX500037"/>
    <x v="2"/>
    <x v="14"/>
    <n v="203.1"/>
    <n v="3452.7"/>
    <x v="0"/>
    <x v="5"/>
    <x v="1"/>
    <x v="3"/>
    <x v="1"/>
    <x v="0"/>
    <x v="3"/>
    <x v="5"/>
    <x v="0"/>
    <x v="1"/>
  </r>
  <r>
    <s v="TX500038"/>
    <x v="7"/>
    <x v="15"/>
    <n v="39"/>
    <n v="507"/>
    <x v="0"/>
    <x v="4"/>
    <x v="1"/>
    <x v="0"/>
    <x v="2"/>
    <x v="0"/>
    <x v="3"/>
    <x v="4"/>
    <x v="0"/>
    <x v="1"/>
  </r>
  <r>
    <s v="TX500039"/>
    <x v="10"/>
    <x v="0"/>
    <n v="26.5"/>
    <n v="26.5"/>
    <x v="1"/>
    <x v="1"/>
    <x v="1"/>
    <x v="2"/>
    <x v="0"/>
    <x v="0"/>
    <x v="3"/>
    <x v="3"/>
    <x v="0"/>
    <x v="1"/>
  </r>
  <r>
    <s v="TX500040"/>
    <x v="5"/>
    <x v="0"/>
    <n v="43.1"/>
    <n v="43.1"/>
    <x v="1"/>
    <x v="1"/>
    <x v="2"/>
    <x v="2"/>
    <x v="1"/>
    <x v="0"/>
    <x v="3"/>
    <x v="3"/>
    <x v="0"/>
    <x v="2"/>
  </r>
  <r>
    <s v="TX500041"/>
    <x v="1"/>
    <x v="2"/>
    <n v="139"/>
    <n v="417"/>
    <x v="1"/>
    <x v="1"/>
    <x v="2"/>
    <x v="4"/>
    <x v="2"/>
    <x v="0"/>
    <x v="3"/>
    <x v="3"/>
    <x v="0"/>
    <x v="2"/>
  </r>
  <r>
    <s v="TX500042"/>
    <x v="12"/>
    <x v="0"/>
    <n v="80.7"/>
    <n v="80.7"/>
    <x v="1"/>
    <x v="1"/>
    <x v="1"/>
    <x v="0"/>
    <x v="2"/>
    <x v="0"/>
    <x v="16"/>
    <x v="3"/>
    <x v="0"/>
    <x v="1"/>
  </r>
  <r>
    <s v="TX500043"/>
    <x v="4"/>
    <x v="1"/>
    <n v="54.5"/>
    <n v="109"/>
    <x v="1"/>
    <x v="2"/>
    <x v="1"/>
    <x v="1"/>
    <x v="1"/>
    <x v="0"/>
    <x v="6"/>
    <x v="1"/>
    <x v="0"/>
    <x v="1"/>
  </r>
  <r>
    <s v="TX500044"/>
    <x v="6"/>
    <x v="2"/>
    <n v="68.599999999999994"/>
    <n v="205.79999999999998"/>
    <x v="1"/>
    <x v="3"/>
    <x v="2"/>
    <x v="0"/>
    <x v="1"/>
    <x v="0"/>
    <x v="8"/>
    <x v="7"/>
    <x v="0"/>
    <x v="2"/>
  </r>
  <r>
    <s v="TX500045"/>
    <x v="2"/>
    <x v="12"/>
    <n v="135.9"/>
    <n v="543.6"/>
    <x v="1"/>
    <x v="1"/>
    <x v="2"/>
    <x v="2"/>
    <x v="2"/>
    <x v="0"/>
    <x v="8"/>
    <x v="3"/>
    <x v="0"/>
    <x v="2"/>
  </r>
  <r>
    <s v="TX500046"/>
    <x v="2"/>
    <x v="12"/>
    <n v="70.900000000000006"/>
    <n v="283.60000000000002"/>
    <x v="1"/>
    <x v="1"/>
    <x v="2"/>
    <x v="0"/>
    <x v="0"/>
    <x v="0"/>
    <x v="17"/>
    <x v="3"/>
    <x v="0"/>
    <x v="2"/>
  </r>
  <r>
    <s v="TX500047"/>
    <x v="1"/>
    <x v="9"/>
    <n v="63.7"/>
    <n v="318.5"/>
    <x v="1"/>
    <x v="1"/>
    <x v="1"/>
    <x v="1"/>
    <x v="1"/>
    <x v="0"/>
    <x v="9"/>
    <x v="3"/>
    <x v="0"/>
    <x v="1"/>
  </r>
  <r>
    <s v="TX500048"/>
    <x v="13"/>
    <x v="0"/>
    <n v="29.7"/>
    <n v="29.7"/>
    <x v="1"/>
    <x v="2"/>
    <x v="2"/>
    <x v="1"/>
    <x v="0"/>
    <x v="0"/>
    <x v="11"/>
    <x v="1"/>
    <x v="0"/>
    <x v="2"/>
  </r>
  <r>
    <s v="TX500049"/>
    <x v="4"/>
    <x v="2"/>
    <n v="26.8"/>
    <n v="80.400000000000006"/>
    <x v="1"/>
    <x v="7"/>
    <x v="2"/>
    <x v="1"/>
    <x v="2"/>
    <x v="0"/>
    <x v="11"/>
    <x v="8"/>
    <x v="0"/>
    <x v="2"/>
  </r>
  <r>
    <s v="TX500050"/>
    <x v="14"/>
    <x v="0"/>
    <n v="27"/>
    <n v="27"/>
    <x v="1"/>
    <x v="2"/>
    <x v="2"/>
    <x v="0"/>
    <x v="0"/>
    <x v="0"/>
    <x v="18"/>
    <x v="1"/>
    <x v="0"/>
    <x v="2"/>
  </r>
  <r>
    <s v="TX500051"/>
    <x v="8"/>
    <x v="0"/>
    <n v="41.4"/>
    <n v="41.4"/>
    <x v="1"/>
    <x v="1"/>
    <x v="1"/>
    <x v="1"/>
    <x v="2"/>
    <x v="0"/>
    <x v="19"/>
    <x v="3"/>
    <x v="0"/>
    <x v="1"/>
  </r>
  <r>
    <s v="TX500052"/>
    <x v="8"/>
    <x v="1"/>
    <n v="24.3"/>
    <n v="48.6"/>
    <x v="1"/>
    <x v="5"/>
    <x v="2"/>
    <x v="1"/>
    <x v="0"/>
    <x v="0"/>
    <x v="19"/>
    <x v="2"/>
    <x v="0"/>
    <x v="2"/>
  </r>
  <r>
    <s v="TX500053"/>
    <x v="8"/>
    <x v="2"/>
    <n v="41.7"/>
    <n v="125.10000000000001"/>
    <x v="1"/>
    <x v="2"/>
    <x v="1"/>
    <x v="0"/>
    <x v="2"/>
    <x v="0"/>
    <x v="20"/>
    <x v="1"/>
    <x v="0"/>
    <x v="1"/>
  </r>
  <r>
    <s v="TX500054"/>
    <x v="0"/>
    <x v="1"/>
    <n v="18"/>
    <n v="36"/>
    <x v="1"/>
    <x v="1"/>
    <x v="2"/>
    <x v="0"/>
    <x v="2"/>
    <x v="0"/>
    <x v="21"/>
    <x v="3"/>
    <x v="0"/>
    <x v="2"/>
  </r>
  <r>
    <s v="TX500055"/>
    <x v="7"/>
    <x v="2"/>
    <n v="91.3"/>
    <n v="273.89999999999998"/>
    <x v="1"/>
    <x v="5"/>
    <x v="1"/>
    <x v="2"/>
    <x v="2"/>
    <x v="0"/>
    <x v="3"/>
    <x v="2"/>
    <x v="0"/>
    <x v="1"/>
  </r>
  <r>
    <s v="TX500056"/>
    <x v="8"/>
    <x v="8"/>
    <n v="19.3"/>
    <n v="154.4"/>
    <x v="1"/>
    <x v="1"/>
    <x v="1"/>
    <x v="0"/>
    <x v="0"/>
    <x v="0"/>
    <x v="3"/>
    <x v="3"/>
    <x v="0"/>
    <x v="1"/>
  </r>
  <r>
    <s v="TX500057"/>
    <x v="12"/>
    <x v="15"/>
    <n v="63.2"/>
    <n v="821.6"/>
    <x v="1"/>
    <x v="1"/>
    <x v="2"/>
    <x v="0"/>
    <x v="0"/>
    <x v="0"/>
    <x v="3"/>
    <x v="3"/>
    <x v="0"/>
    <x v="2"/>
  </r>
  <r>
    <s v="TX500058"/>
    <x v="10"/>
    <x v="11"/>
    <n v="33.299999999999997"/>
    <n v="299.7"/>
    <x v="2"/>
    <x v="7"/>
    <x v="2"/>
    <x v="0"/>
    <x v="2"/>
    <x v="0"/>
    <x v="3"/>
    <x v="9"/>
    <x v="0"/>
    <x v="2"/>
  </r>
  <r>
    <s v="TX500059"/>
    <x v="7"/>
    <x v="1"/>
    <n v="64.2"/>
    <n v="128.4"/>
    <x v="2"/>
    <x v="2"/>
    <x v="1"/>
    <x v="0"/>
    <x v="2"/>
    <x v="0"/>
    <x v="3"/>
    <x v="3"/>
    <x v="0"/>
    <x v="1"/>
  </r>
  <r>
    <s v="TX500060"/>
    <x v="9"/>
    <x v="2"/>
    <n v="23.1"/>
    <n v="69.300000000000011"/>
    <x v="2"/>
    <x v="0"/>
    <x v="2"/>
    <x v="1"/>
    <x v="2"/>
    <x v="0"/>
    <x v="3"/>
    <x v="2"/>
    <x v="0"/>
    <x v="2"/>
  </r>
  <r>
    <s v="TX500061"/>
    <x v="15"/>
    <x v="1"/>
    <n v="71.099999999999994"/>
    <n v="142.19999999999999"/>
    <x v="2"/>
    <x v="5"/>
    <x v="2"/>
    <x v="3"/>
    <x v="1"/>
    <x v="0"/>
    <x v="3"/>
    <x v="1"/>
    <x v="0"/>
    <x v="2"/>
  </r>
  <r>
    <s v="TX500062"/>
    <x v="0"/>
    <x v="1"/>
    <n v="11.5"/>
    <n v="23"/>
    <x v="2"/>
    <x v="2"/>
    <x v="2"/>
    <x v="0"/>
    <x v="0"/>
    <x v="0"/>
    <x v="3"/>
    <x v="3"/>
    <x v="0"/>
    <x v="2"/>
  </r>
  <r>
    <s v="TX500063"/>
    <x v="15"/>
    <x v="10"/>
    <n v="69.2"/>
    <n v="1314.8"/>
    <x v="2"/>
    <x v="6"/>
    <x v="2"/>
    <x v="0"/>
    <x v="0"/>
    <x v="0"/>
    <x v="3"/>
    <x v="0"/>
    <x v="0"/>
    <x v="2"/>
  </r>
  <r>
    <s v="TX500064"/>
    <x v="0"/>
    <x v="0"/>
    <n v="26.8"/>
    <n v="26.8"/>
    <x v="2"/>
    <x v="2"/>
    <x v="1"/>
    <x v="2"/>
    <x v="4"/>
    <x v="0"/>
    <x v="3"/>
    <x v="3"/>
    <x v="0"/>
    <x v="1"/>
  </r>
  <r>
    <s v="TX500065"/>
    <x v="16"/>
    <x v="2"/>
    <n v="31.2"/>
    <n v="93.6"/>
    <x v="2"/>
    <x v="0"/>
    <x v="2"/>
    <x v="0"/>
    <x v="0"/>
    <x v="0"/>
    <x v="3"/>
    <x v="2"/>
    <x v="0"/>
    <x v="2"/>
  </r>
  <r>
    <s v="TX500066"/>
    <x v="12"/>
    <x v="1"/>
    <n v="113.2"/>
    <n v="226.4"/>
    <x v="2"/>
    <x v="2"/>
    <x v="2"/>
    <x v="4"/>
    <x v="0"/>
    <x v="0"/>
    <x v="3"/>
    <x v="3"/>
    <x v="0"/>
    <x v="2"/>
  </r>
  <r>
    <s v="TX500067"/>
    <x v="10"/>
    <x v="8"/>
    <n v="21"/>
    <n v="168"/>
    <x v="2"/>
    <x v="2"/>
    <x v="1"/>
    <x v="0"/>
    <x v="0"/>
    <x v="0"/>
    <x v="6"/>
    <x v="3"/>
    <x v="0"/>
    <x v="1"/>
  </r>
  <r>
    <s v="TX500068"/>
    <x v="1"/>
    <x v="1"/>
    <n v="89.1"/>
    <n v="178.2"/>
    <x v="2"/>
    <x v="2"/>
    <x v="2"/>
    <x v="2"/>
    <x v="2"/>
    <x v="0"/>
    <x v="6"/>
    <x v="3"/>
    <x v="0"/>
    <x v="2"/>
  </r>
  <r>
    <s v="TX500069"/>
    <x v="1"/>
    <x v="0"/>
    <n v="97.7"/>
    <n v="97.7"/>
    <x v="2"/>
    <x v="5"/>
    <x v="2"/>
    <x v="0"/>
    <x v="1"/>
    <x v="0"/>
    <x v="6"/>
    <x v="1"/>
    <x v="0"/>
    <x v="2"/>
  </r>
  <r>
    <s v="TX500070"/>
    <x v="15"/>
    <x v="12"/>
    <n v="97.7"/>
    <n v="390.8"/>
    <x v="2"/>
    <x v="5"/>
    <x v="1"/>
    <x v="3"/>
    <x v="0"/>
    <x v="0"/>
    <x v="6"/>
    <x v="1"/>
    <x v="0"/>
    <x v="1"/>
  </r>
  <r>
    <s v="TX500071"/>
    <x v="17"/>
    <x v="2"/>
    <n v="47.4"/>
    <n v="142.19999999999999"/>
    <x v="2"/>
    <x v="0"/>
    <x v="1"/>
    <x v="3"/>
    <x v="2"/>
    <x v="0"/>
    <x v="8"/>
    <x v="2"/>
    <x v="0"/>
    <x v="1"/>
  </r>
  <r>
    <s v="TX500072"/>
    <x v="7"/>
    <x v="0"/>
    <n v="89.6"/>
    <n v="89.6"/>
    <x v="2"/>
    <x v="0"/>
    <x v="2"/>
    <x v="0"/>
    <x v="2"/>
    <x v="0"/>
    <x v="8"/>
    <x v="2"/>
    <x v="0"/>
    <x v="2"/>
  </r>
  <r>
    <s v="TX500073"/>
    <x v="10"/>
    <x v="16"/>
    <n v="28.4"/>
    <n v="511.2"/>
    <x v="2"/>
    <x v="0"/>
    <x v="2"/>
    <x v="3"/>
    <x v="2"/>
    <x v="0"/>
    <x v="17"/>
    <x v="2"/>
    <x v="0"/>
    <x v="2"/>
  </r>
  <r>
    <s v="TX500074"/>
    <x v="0"/>
    <x v="1"/>
    <n v="17.899999999999999"/>
    <n v="35.799999999999997"/>
    <x v="2"/>
    <x v="2"/>
    <x v="2"/>
    <x v="0"/>
    <x v="2"/>
    <x v="0"/>
    <x v="9"/>
    <x v="3"/>
    <x v="0"/>
    <x v="2"/>
  </r>
  <r>
    <s v="TX500075"/>
    <x v="9"/>
    <x v="1"/>
    <n v="48.4"/>
    <n v="96.8"/>
    <x v="2"/>
    <x v="0"/>
    <x v="1"/>
    <x v="1"/>
    <x v="0"/>
    <x v="0"/>
    <x v="9"/>
    <x v="2"/>
    <x v="0"/>
    <x v="1"/>
  </r>
  <r>
    <s v="TX500076"/>
    <x v="12"/>
    <x v="12"/>
    <n v="44.4"/>
    <n v="177.6"/>
    <x v="2"/>
    <x v="2"/>
    <x v="3"/>
    <x v="1"/>
    <x v="1"/>
    <x v="0"/>
    <x v="11"/>
    <x v="3"/>
    <x v="0"/>
    <x v="3"/>
  </r>
  <r>
    <s v="TX500077"/>
    <x v="2"/>
    <x v="8"/>
    <n v="103.7"/>
    <n v="829.6"/>
    <x v="2"/>
    <x v="2"/>
    <x v="2"/>
    <x v="0"/>
    <x v="1"/>
    <x v="0"/>
    <x v="19"/>
    <x v="3"/>
    <x v="0"/>
    <x v="2"/>
  </r>
  <r>
    <s v="TX500078"/>
    <x v="5"/>
    <x v="12"/>
    <n v="58.6"/>
    <n v="234.4"/>
    <x v="2"/>
    <x v="5"/>
    <x v="1"/>
    <x v="3"/>
    <x v="0"/>
    <x v="0"/>
    <x v="19"/>
    <x v="1"/>
    <x v="0"/>
    <x v="1"/>
  </r>
  <r>
    <s v="TX500079"/>
    <x v="9"/>
    <x v="12"/>
    <n v="54.8"/>
    <n v="219.2"/>
    <x v="2"/>
    <x v="4"/>
    <x v="2"/>
    <x v="2"/>
    <x v="1"/>
    <x v="0"/>
    <x v="13"/>
    <x v="5"/>
    <x v="0"/>
    <x v="2"/>
  </r>
  <r>
    <s v="TX500080"/>
    <x v="12"/>
    <x v="2"/>
    <n v="78.8"/>
    <n v="236.39999999999998"/>
    <x v="2"/>
    <x v="8"/>
    <x v="2"/>
    <x v="4"/>
    <x v="1"/>
    <x v="0"/>
    <x v="21"/>
    <x v="4"/>
    <x v="0"/>
    <x v="2"/>
  </r>
  <r>
    <s v="TX500081"/>
    <x v="18"/>
    <x v="9"/>
    <n v="36.799999999999997"/>
    <n v="184"/>
    <x v="2"/>
    <x v="0"/>
    <x v="1"/>
    <x v="4"/>
    <x v="1"/>
    <x v="0"/>
    <x v="22"/>
    <x v="2"/>
    <x v="0"/>
    <x v="1"/>
  </r>
  <r>
    <s v="TX500082"/>
    <x v="6"/>
    <x v="13"/>
    <n v="50.6"/>
    <n v="303.60000000000002"/>
    <x v="2"/>
    <x v="5"/>
    <x v="2"/>
    <x v="3"/>
    <x v="0"/>
    <x v="0"/>
    <x v="3"/>
    <x v="1"/>
    <x v="0"/>
    <x v="2"/>
  </r>
  <r>
    <s v="TX500083"/>
    <x v="15"/>
    <x v="2"/>
    <n v="36.799999999999997"/>
    <n v="110.39999999999999"/>
    <x v="2"/>
    <x v="1"/>
    <x v="1"/>
    <x v="2"/>
    <x v="1"/>
    <x v="0"/>
    <x v="3"/>
    <x v="7"/>
    <x v="0"/>
    <x v="1"/>
  </r>
  <r>
    <s v="TX500084"/>
    <x v="8"/>
    <x v="11"/>
    <n v="41.8"/>
    <n v="376.2"/>
    <x v="3"/>
    <x v="9"/>
    <x v="2"/>
    <x v="3"/>
    <x v="0"/>
    <x v="0"/>
    <x v="3"/>
    <x v="4"/>
    <x v="0"/>
    <x v="2"/>
  </r>
  <r>
    <s v="TX500085"/>
    <x v="18"/>
    <x v="0"/>
    <n v="77.3"/>
    <n v="77.3"/>
    <x v="3"/>
    <x v="5"/>
    <x v="1"/>
    <x v="4"/>
    <x v="4"/>
    <x v="0"/>
    <x v="3"/>
    <x v="3"/>
    <x v="0"/>
    <x v="1"/>
  </r>
  <r>
    <s v="TX500086"/>
    <x v="8"/>
    <x v="12"/>
    <n v="19.8"/>
    <n v="79.2"/>
    <x v="3"/>
    <x v="9"/>
    <x v="1"/>
    <x v="1"/>
    <x v="2"/>
    <x v="0"/>
    <x v="3"/>
    <x v="4"/>
    <x v="0"/>
    <x v="1"/>
  </r>
  <r>
    <s v="TX500087"/>
    <x v="13"/>
    <x v="12"/>
    <n v="15.5"/>
    <n v="62"/>
    <x v="3"/>
    <x v="5"/>
    <x v="2"/>
    <x v="1"/>
    <x v="2"/>
    <x v="0"/>
    <x v="3"/>
    <x v="3"/>
    <x v="0"/>
    <x v="2"/>
  </r>
  <r>
    <s v="TX500088"/>
    <x v="12"/>
    <x v="0"/>
    <n v="46.8"/>
    <n v="46.8"/>
    <x v="3"/>
    <x v="6"/>
    <x v="1"/>
    <x v="0"/>
    <x v="2"/>
    <x v="0"/>
    <x v="3"/>
    <x v="5"/>
    <x v="0"/>
    <x v="1"/>
  </r>
  <r>
    <s v="TX500089"/>
    <x v="9"/>
    <x v="11"/>
    <n v="28.6"/>
    <n v="257.40000000000003"/>
    <x v="3"/>
    <x v="6"/>
    <x v="1"/>
    <x v="0"/>
    <x v="2"/>
    <x v="0"/>
    <x v="3"/>
    <x v="5"/>
    <x v="0"/>
    <x v="1"/>
  </r>
  <r>
    <s v="TX500090"/>
    <x v="2"/>
    <x v="0"/>
    <n v="97.7"/>
    <n v="97.7"/>
    <x v="3"/>
    <x v="4"/>
    <x v="2"/>
    <x v="1"/>
    <x v="0"/>
    <x v="0"/>
    <x v="3"/>
    <x v="2"/>
    <x v="0"/>
    <x v="2"/>
  </r>
  <r>
    <s v="TX500091"/>
    <x v="9"/>
    <x v="9"/>
    <n v="54.7"/>
    <n v="273.5"/>
    <x v="3"/>
    <x v="4"/>
    <x v="0"/>
    <x v="0"/>
    <x v="2"/>
    <x v="0"/>
    <x v="23"/>
    <x v="2"/>
    <x v="0"/>
    <x v="0"/>
  </r>
  <r>
    <s v="TX500092"/>
    <x v="2"/>
    <x v="13"/>
    <n v="130.5"/>
    <n v="783"/>
    <x v="3"/>
    <x v="0"/>
    <x v="2"/>
    <x v="0"/>
    <x v="1"/>
    <x v="0"/>
    <x v="23"/>
    <x v="1"/>
    <x v="0"/>
    <x v="2"/>
  </r>
  <r>
    <s v="TX500093"/>
    <x v="11"/>
    <x v="1"/>
    <n v="50.4"/>
    <n v="100.8"/>
    <x v="3"/>
    <x v="0"/>
    <x v="1"/>
    <x v="2"/>
    <x v="2"/>
    <x v="0"/>
    <x v="6"/>
    <x v="1"/>
    <x v="0"/>
    <x v="1"/>
  </r>
  <r>
    <s v="TX500094"/>
    <x v="6"/>
    <x v="15"/>
    <n v="61.5"/>
    <n v="799.5"/>
    <x v="3"/>
    <x v="5"/>
    <x v="0"/>
    <x v="3"/>
    <x v="1"/>
    <x v="0"/>
    <x v="11"/>
    <x v="3"/>
    <x v="0"/>
    <x v="0"/>
  </r>
  <r>
    <s v="TX500095"/>
    <x v="9"/>
    <x v="12"/>
    <n v="30.1"/>
    <n v="120.4"/>
    <x v="3"/>
    <x v="5"/>
    <x v="2"/>
    <x v="0"/>
    <x v="2"/>
    <x v="0"/>
    <x v="21"/>
    <x v="3"/>
    <x v="0"/>
    <x v="2"/>
  </r>
  <r>
    <s v="TX500096"/>
    <x v="2"/>
    <x v="9"/>
    <n v="74.8"/>
    <n v="374"/>
    <x v="3"/>
    <x v="5"/>
    <x v="2"/>
    <x v="1"/>
    <x v="0"/>
    <x v="0"/>
    <x v="1"/>
    <x v="3"/>
    <x v="0"/>
    <x v="2"/>
  </r>
  <r>
    <s v="TX500097"/>
    <x v="16"/>
    <x v="2"/>
    <n v="64.900000000000006"/>
    <n v="194.70000000000002"/>
    <x v="3"/>
    <x v="7"/>
    <x v="1"/>
    <x v="0"/>
    <x v="0"/>
    <x v="0"/>
    <x v="2"/>
    <x v="6"/>
    <x v="0"/>
    <x v="1"/>
  </r>
  <r>
    <s v="TX500098"/>
    <x v="9"/>
    <x v="1"/>
    <n v="50.5"/>
    <n v="101"/>
    <x v="3"/>
    <x v="0"/>
    <x v="1"/>
    <x v="1"/>
    <x v="0"/>
    <x v="0"/>
    <x v="22"/>
    <x v="1"/>
    <x v="0"/>
    <x v="1"/>
  </r>
  <r>
    <s v="TX500099"/>
    <x v="11"/>
    <x v="3"/>
    <n v="63"/>
    <n v="441"/>
    <x v="3"/>
    <x v="4"/>
    <x v="1"/>
    <x v="3"/>
    <x v="2"/>
    <x v="0"/>
    <x v="3"/>
    <x v="2"/>
    <x v="0"/>
    <x v="1"/>
  </r>
  <r>
    <s v="TX500100"/>
    <x v="2"/>
    <x v="2"/>
    <n v="93.6"/>
    <n v="280.79999999999995"/>
    <x v="3"/>
    <x v="10"/>
    <x v="2"/>
    <x v="0"/>
    <x v="2"/>
    <x v="0"/>
    <x v="3"/>
    <x v="10"/>
    <x v="0"/>
    <x v="2"/>
  </r>
  <r>
    <s v="TX500101"/>
    <x v="5"/>
    <x v="17"/>
    <n v="41.4"/>
    <n v="1242"/>
    <x v="3"/>
    <x v="6"/>
    <x v="1"/>
    <x v="2"/>
    <x v="2"/>
    <x v="0"/>
    <x v="3"/>
    <x v="5"/>
    <x v="0"/>
    <x v="1"/>
  </r>
  <r>
    <s v="TX500102"/>
    <x v="2"/>
    <x v="1"/>
    <n v="160"/>
    <n v="320"/>
    <x v="4"/>
    <x v="0"/>
    <x v="1"/>
    <x v="2"/>
    <x v="2"/>
    <x v="0"/>
    <x v="5"/>
    <x v="3"/>
    <x v="1"/>
    <x v="1"/>
  </r>
  <r>
    <s v="TX500103"/>
    <x v="19"/>
    <x v="5"/>
    <n v="10.5"/>
    <n v="115.5"/>
    <x v="4"/>
    <x v="6"/>
    <x v="2"/>
    <x v="4"/>
    <x v="0"/>
    <x v="0"/>
    <x v="8"/>
    <x v="2"/>
    <x v="1"/>
    <x v="2"/>
  </r>
  <r>
    <s v="TX500104"/>
    <x v="10"/>
    <x v="1"/>
    <n v="53"/>
    <n v="106"/>
    <x v="4"/>
    <x v="5"/>
    <x v="1"/>
    <x v="2"/>
    <x v="4"/>
    <x v="0"/>
    <x v="17"/>
    <x v="7"/>
    <x v="1"/>
    <x v="1"/>
  </r>
  <r>
    <s v="TX500105"/>
    <x v="8"/>
    <x v="2"/>
    <n v="18.5"/>
    <n v="55.5"/>
    <x v="4"/>
    <x v="9"/>
    <x v="2"/>
    <x v="1"/>
    <x v="2"/>
    <x v="0"/>
    <x v="11"/>
    <x v="0"/>
    <x v="1"/>
    <x v="2"/>
  </r>
  <r>
    <s v="TX500106"/>
    <x v="16"/>
    <x v="2"/>
    <n v="84.5"/>
    <n v="253.5"/>
    <x v="4"/>
    <x v="4"/>
    <x v="2"/>
    <x v="4"/>
    <x v="1"/>
    <x v="0"/>
    <x v="13"/>
    <x v="1"/>
    <x v="1"/>
    <x v="2"/>
  </r>
  <r>
    <s v="TX500107"/>
    <x v="15"/>
    <x v="3"/>
    <n v="31.2"/>
    <n v="218.4"/>
    <x v="4"/>
    <x v="5"/>
    <x v="2"/>
    <x v="2"/>
    <x v="2"/>
    <x v="0"/>
    <x v="3"/>
    <x v="7"/>
    <x v="1"/>
    <x v="2"/>
  </r>
  <r>
    <s v="TX500108"/>
    <x v="8"/>
    <x v="16"/>
    <n v="32.6"/>
    <n v="586.80000000000007"/>
    <x v="4"/>
    <x v="0"/>
    <x v="1"/>
    <x v="1"/>
    <x v="1"/>
    <x v="0"/>
    <x v="3"/>
    <x v="3"/>
    <x v="1"/>
    <x v="1"/>
  </r>
  <r>
    <s v="TX500109"/>
    <x v="10"/>
    <x v="12"/>
    <n v="45.4"/>
    <n v="181.6"/>
    <x v="4"/>
    <x v="4"/>
    <x v="1"/>
    <x v="1"/>
    <x v="0"/>
    <x v="0"/>
    <x v="3"/>
    <x v="1"/>
    <x v="1"/>
    <x v="1"/>
  </r>
  <r>
    <s v="TX500110"/>
    <x v="2"/>
    <x v="4"/>
    <n v="120"/>
    <n v="1440"/>
    <x v="4"/>
    <x v="0"/>
    <x v="2"/>
    <x v="2"/>
    <x v="4"/>
    <x v="0"/>
    <x v="3"/>
    <x v="3"/>
    <x v="1"/>
    <x v="2"/>
  </r>
  <r>
    <s v="TX500111"/>
    <x v="0"/>
    <x v="12"/>
    <n v="18.899999999999999"/>
    <n v="75.599999999999994"/>
    <x v="4"/>
    <x v="4"/>
    <x v="1"/>
    <x v="0"/>
    <x v="2"/>
    <x v="0"/>
    <x v="3"/>
    <x v="1"/>
    <x v="1"/>
    <x v="1"/>
  </r>
  <r>
    <s v="TX500112"/>
    <x v="4"/>
    <x v="0"/>
    <n v="32"/>
    <n v="32"/>
    <x v="4"/>
    <x v="4"/>
    <x v="2"/>
    <x v="4"/>
    <x v="0"/>
    <x v="0"/>
    <x v="3"/>
    <x v="1"/>
    <x v="1"/>
    <x v="2"/>
  </r>
  <r>
    <s v="TX500113"/>
    <x v="7"/>
    <x v="1"/>
    <n v="37.299999999999997"/>
    <n v="74.599999999999994"/>
    <x v="4"/>
    <x v="0"/>
    <x v="1"/>
    <x v="2"/>
    <x v="0"/>
    <x v="0"/>
    <x v="3"/>
    <x v="3"/>
    <x v="1"/>
    <x v="1"/>
  </r>
  <r>
    <s v="TX500114"/>
    <x v="18"/>
    <x v="0"/>
    <n v="119.8"/>
    <n v="119.8"/>
    <x v="4"/>
    <x v="0"/>
    <x v="1"/>
    <x v="1"/>
    <x v="1"/>
    <x v="0"/>
    <x v="3"/>
    <x v="3"/>
    <x v="1"/>
    <x v="1"/>
  </r>
  <r>
    <s v="TX500115"/>
    <x v="10"/>
    <x v="1"/>
    <n v="26.4"/>
    <n v="52.8"/>
    <x v="4"/>
    <x v="6"/>
    <x v="1"/>
    <x v="2"/>
    <x v="0"/>
    <x v="0"/>
    <x v="3"/>
    <x v="2"/>
    <x v="1"/>
    <x v="1"/>
  </r>
  <r>
    <s v="TX500116"/>
    <x v="6"/>
    <x v="13"/>
    <n v="76.5"/>
    <n v="459"/>
    <x v="4"/>
    <x v="0"/>
    <x v="2"/>
    <x v="1"/>
    <x v="1"/>
    <x v="0"/>
    <x v="3"/>
    <x v="3"/>
    <x v="1"/>
    <x v="2"/>
  </r>
  <r>
    <s v="TX500117"/>
    <x v="4"/>
    <x v="7"/>
    <n v="45.7"/>
    <n v="457"/>
    <x v="4"/>
    <x v="0"/>
    <x v="2"/>
    <x v="2"/>
    <x v="0"/>
    <x v="0"/>
    <x v="24"/>
    <x v="3"/>
    <x v="1"/>
    <x v="2"/>
  </r>
  <r>
    <s v="TX500118"/>
    <x v="1"/>
    <x v="4"/>
    <n v="92.6"/>
    <n v="1111.1999999999998"/>
    <x v="4"/>
    <x v="4"/>
    <x v="2"/>
    <x v="2"/>
    <x v="0"/>
    <x v="0"/>
    <x v="25"/>
    <x v="1"/>
    <x v="1"/>
    <x v="2"/>
  </r>
  <r>
    <s v="TX500119"/>
    <x v="6"/>
    <x v="13"/>
    <n v="60.1"/>
    <n v="360.6"/>
    <x v="4"/>
    <x v="0"/>
    <x v="1"/>
    <x v="1"/>
    <x v="0"/>
    <x v="0"/>
    <x v="23"/>
    <x v="3"/>
    <x v="1"/>
    <x v="1"/>
  </r>
  <r>
    <s v="TX500120"/>
    <x v="1"/>
    <x v="2"/>
    <n v="73"/>
    <n v="219"/>
    <x v="4"/>
    <x v="0"/>
    <x v="2"/>
    <x v="3"/>
    <x v="1"/>
    <x v="0"/>
    <x v="6"/>
    <x v="3"/>
    <x v="1"/>
    <x v="2"/>
  </r>
  <r>
    <s v="TX500121"/>
    <x v="6"/>
    <x v="2"/>
    <n v="44.3"/>
    <n v="132.89999999999998"/>
    <x v="4"/>
    <x v="8"/>
    <x v="0"/>
    <x v="2"/>
    <x v="2"/>
    <x v="0"/>
    <x v="6"/>
    <x v="5"/>
    <x v="1"/>
    <x v="0"/>
  </r>
  <r>
    <s v="TX500122"/>
    <x v="6"/>
    <x v="2"/>
    <n v="63.3"/>
    <n v="189.89999999999998"/>
    <x v="4"/>
    <x v="0"/>
    <x v="1"/>
    <x v="2"/>
    <x v="0"/>
    <x v="0"/>
    <x v="6"/>
    <x v="3"/>
    <x v="1"/>
    <x v="1"/>
  </r>
  <r>
    <s v="TX500123"/>
    <x v="12"/>
    <x v="0"/>
    <n v="66.8"/>
    <n v="66.8"/>
    <x v="4"/>
    <x v="0"/>
    <x v="2"/>
    <x v="1"/>
    <x v="0"/>
    <x v="0"/>
    <x v="6"/>
    <x v="3"/>
    <x v="1"/>
    <x v="2"/>
  </r>
  <r>
    <s v="TX500124"/>
    <x v="2"/>
    <x v="1"/>
    <n v="59.7"/>
    <n v="119.4"/>
    <x v="4"/>
    <x v="0"/>
    <x v="2"/>
    <x v="0"/>
    <x v="0"/>
    <x v="0"/>
    <x v="7"/>
    <x v="3"/>
    <x v="1"/>
    <x v="2"/>
  </r>
  <r>
    <s v="TX500125"/>
    <x v="1"/>
    <x v="13"/>
    <n v="92"/>
    <n v="552"/>
    <x v="4"/>
    <x v="4"/>
    <x v="1"/>
    <x v="0"/>
    <x v="4"/>
    <x v="0"/>
    <x v="7"/>
    <x v="1"/>
    <x v="1"/>
    <x v="1"/>
  </r>
  <r>
    <s v="TX500126"/>
    <x v="7"/>
    <x v="1"/>
    <n v="87.6"/>
    <n v="175.2"/>
    <x v="4"/>
    <x v="4"/>
    <x v="1"/>
    <x v="1"/>
    <x v="1"/>
    <x v="0"/>
    <x v="8"/>
    <x v="1"/>
    <x v="1"/>
    <x v="1"/>
  </r>
  <r>
    <s v="TX500127"/>
    <x v="6"/>
    <x v="2"/>
    <n v="84.5"/>
    <n v="253.5"/>
    <x v="4"/>
    <x v="0"/>
    <x v="2"/>
    <x v="1"/>
    <x v="1"/>
    <x v="0"/>
    <x v="8"/>
    <x v="3"/>
    <x v="1"/>
    <x v="2"/>
  </r>
  <r>
    <s v="TX500128"/>
    <x v="1"/>
    <x v="1"/>
    <n v="116.3"/>
    <n v="232.6"/>
    <x v="5"/>
    <x v="6"/>
    <x v="1"/>
    <x v="2"/>
    <x v="2"/>
    <x v="0"/>
    <x v="8"/>
    <x v="1"/>
    <x v="1"/>
    <x v="1"/>
  </r>
  <r>
    <s v="TX500129"/>
    <x v="6"/>
    <x v="9"/>
    <n v="52.7"/>
    <n v="263.5"/>
    <x v="5"/>
    <x v="9"/>
    <x v="1"/>
    <x v="0"/>
    <x v="0"/>
    <x v="0"/>
    <x v="8"/>
    <x v="5"/>
    <x v="1"/>
    <x v="1"/>
  </r>
  <r>
    <s v="TX500130"/>
    <x v="16"/>
    <x v="2"/>
    <n v="34.200000000000003"/>
    <n v="102.60000000000001"/>
    <x v="5"/>
    <x v="4"/>
    <x v="1"/>
    <x v="0"/>
    <x v="2"/>
    <x v="0"/>
    <x v="26"/>
    <x v="3"/>
    <x v="1"/>
    <x v="1"/>
  </r>
  <r>
    <s v="TX500131"/>
    <x v="9"/>
    <x v="0"/>
    <n v="23.3"/>
    <n v="23.3"/>
    <x v="5"/>
    <x v="11"/>
    <x v="3"/>
    <x v="2"/>
    <x v="2"/>
    <x v="0"/>
    <x v="9"/>
    <x v="8"/>
    <x v="1"/>
    <x v="3"/>
  </r>
  <r>
    <s v="TX500132"/>
    <x v="0"/>
    <x v="18"/>
    <n v="25.9"/>
    <n v="673.4"/>
    <x v="5"/>
    <x v="8"/>
    <x v="2"/>
    <x v="4"/>
    <x v="1"/>
    <x v="0"/>
    <x v="9"/>
    <x v="2"/>
    <x v="1"/>
    <x v="2"/>
  </r>
  <r>
    <s v="TX500133"/>
    <x v="6"/>
    <x v="19"/>
    <n v="54.9"/>
    <n v="1592.1"/>
    <x v="5"/>
    <x v="4"/>
    <x v="1"/>
    <x v="1"/>
    <x v="2"/>
    <x v="0"/>
    <x v="9"/>
    <x v="3"/>
    <x v="1"/>
    <x v="1"/>
  </r>
  <r>
    <s v="TX500134"/>
    <x v="5"/>
    <x v="2"/>
    <n v="75.8"/>
    <n v="227.39999999999998"/>
    <x v="5"/>
    <x v="7"/>
    <x v="3"/>
    <x v="1"/>
    <x v="0"/>
    <x v="0"/>
    <x v="18"/>
    <x v="0"/>
    <x v="1"/>
    <x v="3"/>
  </r>
  <r>
    <s v="TX500135"/>
    <x v="1"/>
    <x v="11"/>
    <n v="44.9"/>
    <n v="404.09999999999997"/>
    <x v="5"/>
    <x v="8"/>
    <x v="2"/>
    <x v="2"/>
    <x v="2"/>
    <x v="0"/>
    <x v="2"/>
    <x v="2"/>
    <x v="1"/>
    <x v="2"/>
  </r>
  <r>
    <s v="TX500136"/>
    <x v="11"/>
    <x v="1"/>
    <n v="48.8"/>
    <n v="97.6"/>
    <x v="5"/>
    <x v="6"/>
    <x v="2"/>
    <x v="3"/>
    <x v="0"/>
    <x v="0"/>
    <x v="27"/>
    <x v="1"/>
    <x v="1"/>
    <x v="2"/>
  </r>
  <r>
    <s v="TX500137"/>
    <x v="15"/>
    <x v="0"/>
    <n v="20.3"/>
    <n v="20.3"/>
    <x v="5"/>
    <x v="4"/>
    <x v="2"/>
    <x v="0"/>
    <x v="2"/>
    <x v="0"/>
    <x v="22"/>
    <x v="3"/>
    <x v="1"/>
    <x v="2"/>
  </r>
  <r>
    <s v="TX500138"/>
    <x v="5"/>
    <x v="3"/>
    <n v="36.4"/>
    <n v="254.79999999999998"/>
    <x v="5"/>
    <x v="8"/>
    <x v="2"/>
    <x v="0"/>
    <x v="1"/>
    <x v="0"/>
    <x v="3"/>
    <x v="2"/>
    <x v="1"/>
    <x v="2"/>
  </r>
  <r>
    <s v="TX500139"/>
    <x v="0"/>
    <x v="0"/>
    <n v="19"/>
    <n v="19"/>
    <x v="5"/>
    <x v="7"/>
    <x v="2"/>
    <x v="1"/>
    <x v="2"/>
    <x v="0"/>
    <x v="3"/>
    <x v="0"/>
    <x v="1"/>
    <x v="2"/>
  </r>
  <r>
    <s v="TX500140"/>
    <x v="8"/>
    <x v="0"/>
    <n v="17.8"/>
    <n v="17.8"/>
    <x v="5"/>
    <x v="0"/>
    <x v="1"/>
    <x v="0"/>
    <x v="0"/>
    <x v="0"/>
    <x v="3"/>
    <x v="7"/>
    <x v="1"/>
    <x v="1"/>
  </r>
  <r>
    <s v="TX500141"/>
    <x v="2"/>
    <x v="13"/>
    <n v="139.6"/>
    <n v="837.59999999999991"/>
    <x v="5"/>
    <x v="8"/>
    <x v="1"/>
    <x v="0"/>
    <x v="0"/>
    <x v="0"/>
    <x v="3"/>
    <x v="2"/>
    <x v="1"/>
    <x v="1"/>
  </r>
  <r>
    <s v="TX500142"/>
    <x v="9"/>
    <x v="0"/>
    <n v="31.7"/>
    <n v="31.7"/>
    <x v="5"/>
    <x v="0"/>
    <x v="0"/>
    <x v="0"/>
    <x v="0"/>
    <x v="0"/>
    <x v="3"/>
    <x v="7"/>
    <x v="1"/>
    <x v="0"/>
  </r>
  <r>
    <s v="TX500143"/>
    <x v="8"/>
    <x v="8"/>
    <n v="26.3"/>
    <n v="210.4"/>
    <x v="5"/>
    <x v="8"/>
    <x v="2"/>
    <x v="4"/>
    <x v="4"/>
    <x v="0"/>
    <x v="3"/>
    <x v="2"/>
    <x v="1"/>
    <x v="2"/>
  </r>
  <r>
    <s v="TX500144"/>
    <x v="4"/>
    <x v="1"/>
    <n v="47.8"/>
    <n v="95.6"/>
    <x v="5"/>
    <x v="4"/>
    <x v="0"/>
    <x v="0"/>
    <x v="0"/>
    <x v="0"/>
    <x v="3"/>
    <x v="3"/>
    <x v="1"/>
    <x v="0"/>
  </r>
  <r>
    <s v="TX500145"/>
    <x v="9"/>
    <x v="2"/>
    <n v="69.400000000000006"/>
    <n v="208.20000000000002"/>
    <x v="5"/>
    <x v="9"/>
    <x v="2"/>
    <x v="0"/>
    <x v="0"/>
    <x v="0"/>
    <x v="3"/>
    <x v="5"/>
    <x v="1"/>
    <x v="2"/>
  </r>
  <r>
    <s v="TX500146"/>
    <x v="18"/>
    <x v="4"/>
    <n v="25.8"/>
    <n v="309.60000000000002"/>
    <x v="5"/>
    <x v="4"/>
    <x v="1"/>
    <x v="4"/>
    <x v="4"/>
    <x v="0"/>
    <x v="3"/>
    <x v="3"/>
    <x v="1"/>
    <x v="1"/>
  </r>
  <r>
    <s v="TX500147"/>
    <x v="0"/>
    <x v="12"/>
    <n v="26.4"/>
    <n v="105.6"/>
    <x v="5"/>
    <x v="4"/>
    <x v="1"/>
    <x v="1"/>
    <x v="2"/>
    <x v="0"/>
    <x v="3"/>
    <x v="3"/>
    <x v="1"/>
    <x v="1"/>
  </r>
  <r>
    <s v="TX500148"/>
    <x v="8"/>
    <x v="12"/>
    <n v="15.7"/>
    <n v="62.8"/>
    <x v="5"/>
    <x v="4"/>
    <x v="1"/>
    <x v="2"/>
    <x v="0"/>
    <x v="0"/>
    <x v="3"/>
    <x v="3"/>
    <x v="1"/>
    <x v="1"/>
  </r>
  <r>
    <s v="TX500149"/>
    <x v="8"/>
    <x v="0"/>
    <n v="39.700000000000003"/>
    <n v="39.700000000000003"/>
    <x v="5"/>
    <x v="9"/>
    <x v="1"/>
    <x v="0"/>
    <x v="0"/>
    <x v="0"/>
    <x v="3"/>
    <x v="5"/>
    <x v="1"/>
    <x v="1"/>
  </r>
  <r>
    <s v="TX500150"/>
    <x v="10"/>
    <x v="12"/>
    <n v="31.1"/>
    <n v="124.4"/>
    <x v="5"/>
    <x v="6"/>
    <x v="2"/>
    <x v="2"/>
    <x v="1"/>
    <x v="0"/>
    <x v="3"/>
    <x v="1"/>
    <x v="1"/>
    <x v="2"/>
  </r>
  <r>
    <s v="TX500151"/>
    <x v="13"/>
    <x v="20"/>
    <n v="23.4"/>
    <n v="351"/>
    <x v="5"/>
    <x v="11"/>
    <x v="1"/>
    <x v="0"/>
    <x v="0"/>
    <x v="0"/>
    <x v="3"/>
    <x v="8"/>
    <x v="1"/>
    <x v="1"/>
  </r>
  <r>
    <s v="TX500152"/>
    <x v="1"/>
    <x v="12"/>
    <n v="57.1"/>
    <n v="228.4"/>
    <x v="6"/>
    <x v="6"/>
    <x v="1"/>
    <x v="2"/>
    <x v="0"/>
    <x v="0"/>
    <x v="25"/>
    <x v="3"/>
    <x v="1"/>
    <x v="1"/>
  </r>
  <r>
    <s v="TX500153"/>
    <x v="2"/>
    <x v="9"/>
    <n v="89.9"/>
    <n v="449.5"/>
    <x v="6"/>
    <x v="4"/>
    <x v="2"/>
    <x v="0"/>
    <x v="3"/>
    <x v="0"/>
    <x v="23"/>
    <x v="7"/>
    <x v="1"/>
    <x v="2"/>
  </r>
  <r>
    <s v="TX500154"/>
    <x v="10"/>
    <x v="3"/>
    <n v="48.1"/>
    <n v="336.7"/>
    <x v="6"/>
    <x v="8"/>
    <x v="2"/>
    <x v="1"/>
    <x v="2"/>
    <x v="0"/>
    <x v="6"/>
    <x v="1"/>
    <x v="1"/>
    <x v="2"/>
  </r>
  <r>
    <s v="TX500155"/>
    <x v="8"/>
    <x v="1"/>
    <n v="29.3"/>
    <n v="58.6"/>
    <x v="6"/>
    <x v="4"/>
    <x v="2"/>
    <x v="1"/>
    <x v="1"/>
    <x v="0"/>
    <x v="6"/>
    <x v="7"/>
    <x v="1"/>
    <x v="2"/>
  </r>
  <r>
    <s v="TX500156"/>
    <x v="8"/>
    <x v="12"/>
    <n v="28.8"/>
    <n v="115.2"/>
    <x v="6"/>
    <x v="6"/>
    <x v="2"/>
    <x v="0"/>
    <x v="4"/>
    <x v="0"/>
    <x v="6"/>
    <x v="3"/>
    <x v="1"/>
    <x v="2"/>
  </r>
  <r>
    <s v="TX500157"/>
    <x v="10"/>
    <x v="9"/>
    <n v="40.5"/>
    <n v="202.5"/>
    <x v="6"/>
    <x v="7"/>
    <x v="2"/>
    <x v="3"/>
    <x v="0"/>
    <x v="0"/>
    <x v="6"/>
    <x v="5"/>
    <x v="1"/>
    <x v="2"/>
  </r>
  <r>
    <s v="TX500158"/>
    <x v="18"/>
    <x v="21"/>
    <n v="65.099999999999994"/>
    <n v="911.39999999999986"/>
    <x v="6"/>
    <x v="6"/>
    <x v="2"/>
    <x v="4"/>
    <x v="0"/>
    <x v="0"/>
    <x v="7"/>
    <x v="3"/>
    <x v="1"/>
    <x v="2"/>
  </r>
  <r>
    <s v="TX500159"/>
    <x v="8"/>
    <x v="12"/>
    <n v="40.299999999999997"/>
    <n v="161.19999999999999"/>
    <x v="6"/>
    <x v="12"/>
    <x v="2"/>
    <x v="2"/>
    <x v="0"/>
    <x v="0"/>
    <x v="7"/>
    <x v="0"/>
    <x v="1"/>
    <x v="2"/>
  </r>
  <r>
    <s v="TX500160"/>
    <x v="6"/>
    <x v="9"/>
    <n v="51.8"/>
    <n v="259"/>
    <x v="6"/>
    <x v="6"/>
    <x v="1"/>
    <x v="2"/>
    <x v="2"/>
    <x v="0"/>
    <x v="8"/>
    <x v="3"/>
    <x v="1"/>
    <x v="1"/>
  </r>
  <r>
    <s v="TX500161"/>
    <x v="6"/>
    <x v="2"/>
    <n v="61.3"/>
    <n v="183.89999999999998"/>
    <x v="6"/>
    <x v="6"/>
    <x v="2"/>
    <x v="3"/>
    <x v="0"/>
    <x v="0"/>
    <x v="8"/>
    <x v="3"/>
    <x v="1"/>
    <x v="2"/>
  </r>
  <r>
    <s v="TX500162"/>
    <x v="2"/>
    <x v="12"/>
    <n v="122.5"/>
    <n v="490"/>
    <x v="6"/>
    <x v="6"/>
    <x v="1"/>
    <x v="0"/>
    <x v="0"/>
    <x v="0"/>
    <x v="8"/>
    <x v="3"/>
    <x v="1"/>
    <x v="1"/>
  </r>
  <r>
    <s v="TX500163"/>
    <x v="0"/>
    <x v="11"/>
    <n v="12.5"/>
    <n v="112.5"/>
    <x v="6"/>
    <x v="6"/>
    <x v="0"/>
    <x v="1"/>
    <x v="2"/>
    <x v="0"/>
    <x v="8"/>
    <x v="3"/>
    <x v="1"/>
    <x v="0"/>
  </r>
  <r>
    <s v="TX500164"/>
    <x v="15"/>
    <x v="8"/>
    <n v="37.5"/>
    <n v="300"/>
    <x v="6"/>
    <x v="6"/>
    <x v="2"/>
    <x v="0"/>
    <x v="0"/>
    <x v="0"/>
    <x v="9"/>
    <x v="3"/>
    <x v="1"/>
    <x v="2"/>
  </r>
  <r>
    <s v="TX500165"/>
    <x v="6"/>
    <x v="2"/>
    <n v="40"/>
    <n v="120"/>
    <x v="6"/>
    <x v="9"/>
    <x v="1"/>
    <x v="0"/>
    <x v="4"/>
    <x v="0"/>
    <x v="11"/>
    <x v="2"/>
    <x v="1"/>
    <x v="1"/>
  </r>
  <r>
    <s v="TX500166"/>
    <x v="17"/>
    <x v="8"/>
    <n v="38.5"/>
    <n v="308"/>
    <x v="6"/>
    <x v="12"/>
    <x v="2"/>
    <x v="2"/>
    <x v="1"/>
    <x v="0"/>
    <x v="11"/>
    <x v="0"/>
    <x v="1"/>
    <x v="2"/>
  </r>
  <r>
    <s v="TX500167"/>
    <x v="2"/>
    <x v="1"/>
    <n v="86.4"/>
    <n v="172.8"/>
    <x v="6"/>
    <x v="8"/>
    <x v="2"/>
    <x v="0"/>
    <x v="0"/>
    <x v="0"/>
    <x v="18"/>
    <x v="1"/>
    <x v="1"/>
    <x v="2"/>
  </r>
  <r>
    <s v="TX500168"/>
    <x v="10"/>
    <x v="0"/>
    <n v="50.7"/>
    <n v="50.7"/>
    <x v="6"/>
    <x v="7"/>
    <x v="2"/>
    <x v="1"/>
    <x v="0"/>
    <x v="0"/>
    <x v="18"/>
    <x v="5"/>
    <x v="1"/>
    <x v="2"/>
  </r>
  <r>
    <s v="TX500169"/>
    <x v="10"/>
    <x v="1"/>
    <n v="61"/>
    <n v="122"/>
    <x v="6"/>
    <x v="13"/>
    <x v="2"/>
    <x v="4"/>
    <x v="1"/>
    <x v="0"/>
    <x v="18"/>
    <x v="11"/>
    <x v="1"/>
    <x v="2"/>
  </r>
  <r>
    <s v="TX500170"/>
    <x v="4"/>
    <x v="1"/>
    <n v="19.899999999999999"/>
    <n v="39.799999999999997"/>
    <x v="6"/>
    <x v="9"/>
    <x v="2"/>
    <x v="1"/>
    <x v="0"/>
    <x v="0"/>
    <x v="28"/>
    <x v="2"/>
    <x v="1"/>
    <x v="2"/>
  </r>
  <r>
    <s v="TX500171"/>
    <x v="5"/>
    <x v="0"/>
    <n v="78.3"/>
    <n v="78.3"/>
    <x v="6"/>
    <x v="4"/>
    <x v="2"/>
    <x v="0"/>
    <x v="2"/>
    <x v="0"/>
    <x v="1"/>
    <x v="7"/>
    <x v="1"/>
    <x v="2"/>
  </r>
  <r>
    <s v="TX500172"/>
    <x v="0"/>
    <x v="10"/>
    <n v="10.4"/>
    <n v="197.6"/>
    <x v="6"/>
    <x v="8"/>
    <x v="1"/>
    <x v="0"/>
    <x v="2"/>
    <x v="0"/>
    <x v="2"/>
    <x v="1"/>
    <x v="1"/>
    <x v="1"/>
  </r>
  <r>
    <s v="TX500173"/>
    <x v="10"/>
    <x v="0"/>
    <n v="36.1"/>
    <n v="36.1"/>
    <x v="6"/>
    <x v="9"/>
    <x v="1"/>
    <x v="3"/>
    <x v="2"/>
    <x v="0"/>
    <x v="3"/>
    <x v="2"/>
    <x v="1"/>
    <x v="1"/>
  </r>
  <r>
    <s v="TX500174"/>
    <x v="14"/>
    <x v="1"/>
    <n v="17.3"/>
    <n v="34.6"/>
    <x v="6"/>
    <x v="8"/>
    <x v="2"/>
    <x v="1"/>
    <x v="2"/>
    <x v="0"/>
    <x v="3"/>
    <x v="1"/>
    <x v="1"/>
    <x v="2"/>
  </r>
  <r>
    <s v="TX500175"/>
    <x v="10"/>
    <x v="1"/>
    <n v="30.5"/>
    <n v="61"/>
    <x v="6"/>
    <x v="6"/>
    <x v="2"/>
    <x v="1"/>
    <x v="2"/>
    <x v="0"/>
    <x v="3"/>
    <x v="3"/>
    <x v="1"/>
    <x v="2"/>
  </r>
  <r>
    <s v="TX500176"/>
    <x v="18"/>
    <x v="22"/>
    <n v="70.099999999999994"/>
    <n v="4346.2"/>
    <x v="6"/>
    <x v="4"/>
    <x v="2"/>
    <x v="2"/>
    <x v="0"/>
    <x v="0"/>
    <x v="3"/>
    <x v="7"/>
    <x v="1"/>
    <x v="2"/>
  </r>
  <r>
    <s v="TX500177"/>
    <x v="3"/>
    <x v="0"/>
    <n v="76.099999999999994"/>
    <n v="76.099999999999994"/>
    <x v="6"/>
    <x v="4"/>
    <x v="2"/>
    <x v="2"/>
    <x v="1"/>
    <x v="0"/>
    <x v="3"/>
    <x v="7"/>
    <x v="1"/>
    <x v="2"/>
  </r>
  <r>
    <s v="TX500178"/>
    <x v="15"/>
    <x v="15"/>
    <n v="34.200000000000003"/>
    <n v="444.6"/>
    <x v="6"/>
    <x v="6"/>
    <x v="1"/>
    <x v="0"/>
    <x v="0"/>
    <x v="0"/>
    <x v="3"/>
    <x v="3"/>
    <x v="1"/>
    <x v="1"/>
  </r>
  <r>
    <s v="TX500179"/>
    <x v="8"/>
    <x v="9"/>
    <n v="30.3"/>
    <n v="151.5"/>
    <x v="6"/>
    <x v="12"/>
    <x v="2"/>
    <x v="4"/>
    <x v="0"/>
    <x v="0"/>
    <x v="3"/>
    <x v="0"/>
    <x v="1"/>
    <x v="2"/>
  </r>
  <r>
    <s v="TX500180"/>
    <x v="6"/>
    <x v="9"/>
    <n v="52.5"/>
    <n v="262.5"/>
    <x v="6"/>
    <x v="7"/>
    <x v="0"/>
    <x v="3"/>
    <x v="0"/>
    <x v="0"/>
    <x v="3"/>
    <x v="5"/>
    <x v="1"/>
    <x v="0"/>
  </r>
  <r>
    <s v="TX500181"/>
    <x v="9"/>
    <x v="5"/>
    <n v="28.7"/>
    <n v="315.7"/>
    <x v="6"/>
    <x v="6"/>
    <x v="2"/>
    <x v="2"/>
    <x v="0"/>
    <x v="0"/>
    <x v="3"/>
    <x v="3"/>
    <x v="1"/>
    <x v="2"/>
  </r>
  <r>
    <s v="TX500182"/>
    <x v="7"/>
    <x v="3"/>
    <n v="52"/>
    <n v="364"/>
    <x v="6"/>
    <x v="6"/>
    <x v="1"/>
    <x v="1"/>
    <x v="4"/>
    <x v="0"/>
    <x v="3"/>
    <x v="3"/>
    <x v="1"/>
    <x v="1"/>
  </r>
  <r>
    <s v="TX500183"/>
    <x v="0"/>
    <x v="0"/>
    <n v="13.3"/>
    <n v="13.3"/>
    <x v="7"/>
    <x v="12"/>
    <x v="2"/>
    <x v="2"/>
    <x v="1"/>
    <x v="0"/>
    <x v="3"/>
    <x v="5"/>
    <x v="1"/>
    <x v="2"/>
  </r>
  <r>
    <s v="TX500184"/>
    <x v="0"/>
    <x v="2"/>
    <n v="15.7"/>
    <n v="47.099999999999994"/>
    <x v="7"/>
    <x v="8"/>
    <x v="2"/>
    <x v="1"/>
    <x v="0"/>
    <x v="0"/>
    <x v="29"/>
    <x v="3"/>
    <x v="1"/>
    <x v="2"/>
  </r>
  <r>
    <s v="TX500185"/>
    <x v="8"/>
    <x v="1"/>
    <n v="25.6"/>
    <n v="51.2"/>
    <x v="7"/>
    <x v="8"/>
    <x v="1"/>
    <x v="0"/>
    <x v="2"/>
    <x v="0"/>
    <x v="23"/>
    <x v="3"/>
    <x v="1"/>
    <x v="1"/>
  </r>
  <r>
    <s v="TX500186"/>
    <x v="8"/>
    <x v="0"/>
    <n v="43.4"/>
    <n v="43.4"/>
    <x v="7"/>
    <x v="14"/>
    <x v="1"/>
    <x v="0"/>
    <x v="0"/>
    <x v="0"/>
    <x v="6"/>
    <x v="0"/>
    <x v="1"/>
    <x v="1"/>
  </r>
  <r>
    <s v="TX500187"/>
    <x v="11"/>
    <x v="11"/>
    <n v="33.4"/>
    <n v="300.59999999999997"/>
    <x v="7"/>
    <x v="6"/>
    <x v="2"/>
    <x v="0"/>
    <x v="0"/>
    <x v="0"/>
    <x v="8"/>
    <x v="7"/>
    <x v="1"/>
    <x v="2"/>
  </r>
  <r>
    <s v="TX500188"/>
    <x v="8"/>
    <x v="10"/>
    <n v="55"/>
    <n v="1045"/>
    <x v="7"/>
    <x v="8"/>
    <x v="2"/>
    <x v="1"/>
    <x v="2"/>
    <x v="0"/>
    <x v="8"/>
    <x v="3"/>
    <x v="1"/>
    <x v="2"/>
  </r>
  <r>
    <s v="TX500189"/>
    <x v="8"/>
    <x v="2"/>
    <n v="23.6"/>
    <n v="70.800000000000011"/>
    <x v="7"/>
    <x v="8"/>
    <x v="1"/>
    <x v="0"/>
    <x v="2"/>
    <x v="0"/>
    <x v="8"/>
    <x v="3"/>
    <x v="1"/>
    <x v="1"/>
  </r>
  <r>
    <s v="TX500190"/>
    <x v="12"/>
    <x v="11"/>
    <n v="104"/>
    <n v="936"/>
    <x v="7"/>
    <x v="9"/>
    <x v="2"/>
    <x v="2"/>
    <x v="2"/>
    <x v="0"/>
    <x v="17"/>
    <x v="1"/>
    <x v="1"/>
    <x v="2"/>
  </r>
  <r>
    <s v="TX500191"/>
    <x v="6"/>
    <x v="1"/>
    <n v="51.8"/>
    <n v="103.6"/>
    <x v="7"/>
    <x v="12"/>
    <x v="0"/>
    <x v="0"/>
    <x v="2"/>
    <x v="0"/>
    <x v="10"/>
    <x v="5"/>
    <x v="1"/>
    <x v="0"/>
  </r>
  <r>
    <s v="TX500192"/>
    <x v="10"/>
    <x v="9"/>
    <n v="34.5"/>
    <n v="172.5"/>
    <x v="7"/>
    <x v="9"/>
    <x v="0"/>
    <x v="2"/>
    <x v="2"/>
    <x v="0"/>
    <x v="11"/>
    <x v="1"/>
    <x v="1"/>
    <x v="0"/>
  </r>
  <r>
    <s v="TX500193"/>
    <x v="6"/>
    <x v="1"/>
    <n v="51.8"/>
    <n v="103.6"/>
    <x v="7"/>
    <x v="9"/>
    <x v="1"/>
    <x v="1"/>
    <x v="2"/>
    <x v="0"/>
    <x v="30"/>
    <x v="1"/>
    <x v="1"/>
    <x v="1"/>
  </r>
  <r>
    <s v="TX500194"/>
    <x v="18"/>
    <x v="23"/>
    <n v="131.5"/>
    <n v="5654.5"/>
    <x v="7"/>
    <x v="8"/>
    <x v="2"/>
    <x v="0"/>
    <x v="2"/>
    <x v="0"/>
    <x v="18"/>
    <x v="3"/>
    <x v="1"/>
    <x v="2"/>
  </r>
  <r>
    <s v="TX500195"/>
    <x v="8"/>
    <x v="3"/>
    <n v="47.8"/>
    <n v="334.59999999999997"/>
    <x v="7"/>
    <x v="6"/>
    <x v="2"/>
    <x v="0"/>
    <x v="0"/>
    <x v="0"/>
    <x v="19"/>
    <x v="7"/>
    <x v="1"/>
    <x v="2"/>
  </r>
  <r>
    <s v="TX500196"/>
    <x v="0"/>
    <x v="1"/>
    <n v="10.199999999999999"/>
    <n v="20.399999999999999"/>
    <x v="7"/>
    <x v="9"/>
    <x v="2"/>
    <x v="0"/>
    <x v="0"/>
    <x v="0"/>
    <x v="19"/>
    <x v="1"/>
    <x v="1"/>
    <x v="2"/>
  </r>
  <r>
    <s v="TX500197"/>
    <x v="8"/>
    <x v="8"/>
    <n v="41"/>
    <n v="328"/>
    <x v="7"/>
    <x v="6"/>
    <x v="2"/>
    <x v="1"/>
    <x v="2"/>
    <x v="0"/>
    <x v="19"/>
    <x v="7"/>
    <x v="1"/>
    <x v="2"/>
  </r>
  <r>
    <s v="TX500198"/>
    <x v="10"/>
    <x v="3"/>
    <n v="50.8"/>
    <n v="355.59999999999997"/>
    <x v="7"/>
    <x v="7"/>
    <x v="2"/>
    <x v="1"/>
    <x v="0"/>
    <x v="0"/>
    <x v="21"/>
    <x v="2"/>
    <x v="1"/>
    <x v="2"/>
  </r>
  <r>
    <s v="TX500199"/>
    <x v="18"/>
    <x v="2"/>
    <n v="39.6"/>
    <n v="118.80000000000001"/>
    <x v="7"/>
    <x v="8"/>
    <x v="1"/>
    <x v="2"/>
    <x v="2"/>
    <x v="0"/>
    <x v="1"/>
    <x v="3"/>
    <x v="1"/>
    <x v="1"/>
  </r>
  <r>
    <s v="TX500200"/>
    <x v="5"/>
    <x v="1"/>
    <n v="69.5"/>
    <n v="139"/>
    <x v="7"/>
    <x v="9"/>
    <x v="1"/>
    <x v="0"/>
    <x v="2"/>
    <x v="0"/>
    <x v="2"/>
    <x v="1"/>
    <x v="1"/>
    <x v="1"/>
  </r>
  <r>
    <s v="TX500201"/>
    <x v="8"/>
    <x v="8"/>
    <n v="32.6"/>
    <n v="260.8"/>
    <x v="7"/>
    <x v="7"/>
    <x v="1"/>
    <x v="1"/>
    <x v="0"/>
    <x v="0"/>
    <x v="3"/>
    <x v="2"/>
    <x v="1"/>
    <x v="1"/>
  </r>
  <r>
    <s v="TX500202"/>
    <x v="7"/>
    <x v="1"/>
    <n v="49.1"/>
    <n v="98.2"/>
    <x v="7"/>
    <x v="15"/>
    <x v="1"/>
    <x v="3"/>
    <x v="2"/>
    <x v="0"/>
    <x v="3"/>
    <x v="9"/>
    <x v="1"/>
    <x v="1"/>
  </r>
  <r>
    <s v="TX500203"/>
    <x v="6"/>
    <x v="1"/>
    <n v="49.4"/>
    <n v="98.8"/>
    <x v="8"/>
    <x v="9"/>
    <x v="2"/>
    <x v="2"/>
    <x v="0"/>
    <x v="0"/>
    <x v="3"/>
    <x v="3"/>
    <x v="1"/>
    <x v="2"/>
  </r>
  <r>
    <s v="TX500204"/>
    <x v="7"/>
    <x v="3"/>
    <n v="65.099999999999994"/>
    <n v="455.69999999999993"/>
    <x v="8"/>
    <x v="12"/>
    <x v="2"/>
    <x v="2"/>
    <x v="2"/>
    <x v="0"/>
    <x v="3"/>
    <x v="2"/>
    <x v="1"/>
    <x v="2"/>
  </r>
  <r>
    <s v="TX500205"/>
    <x v="3"/>
    <x v="1"/>
    <n v="52.1"/>
    <n v="104.2"/>
    <x v="8"/>
    <x v="14"/>
    <x v="2"/>
    <x v="2"/>
    <x v="0"/>
    <x v="0"/>
    <x v="3"/>
    <x v="5"/>
    <x v="1"/>
    <x v="2"/>
  </r>
  <r>
    <s v="TX500206"/>
    <x v="2"/>
    <x v="12"/>
    <n v="129.19999999999999"/>
    <n v="516.79999999999995"/>
    <x v="8"/>
    <x v="9"/>
    <x v="2"/>
    <x v="1"/>
    <x v="0"/>
    <x v="0"/>
    <x v="3"/>
    <x v="3"/>
    <x v="1"/>
    <x v="2"/>
  </r>
  <r>
    <s v="TX500207"/>
    <x v="1"/>
    <x v="10"/>
    <n v="81.8"/>
    <n v="1554.2"/>
    <x v="8"/>
    <x v="8"/>
    <x v="2"/>
    <x v="1"/>
    <x v="1"/>
    <x v="0"/>
    <x v="3"/>
    <x v="7"/>
    <x v="1"/>
    <x v="2"/>
  </r>
  <r>
    <s v="TX500208"/>
    <x v="17"/>
    <x v="0"/>
    <n v="24.9"/>
    <n v="24.9"/>
    <x v="8"/>
    <x v="14"/>
    <x v="2"/>
    <x v="1"/>
    <x v="0"/>
    <x v="0"/>
    <x v="3"/>
    <x v="5"/>
    <x v="1"/>
    <x v="2"/>
  </r>
  <r>
    <s v="TX500209"/>
    <x v="0"/>
    <x v="2"/>
    <n v="49.4"/>
    <n v="148.19999999999999"/>
    <x v="8"/>
    <x v="12"/>
    <x v="2"/>
    <x v="4"/>
    <x v="4"/>
    <x v="0"/>
    <x v="3"/>
    <x v="2"/>
    <x v="1"/>
    <x v="2"/>
  </r>
  <r>
    <s v="TX500210"/>
    <x v="8"/>
    <x v="1"/>
    <n v="22.7"/>
    <n v="45.4"/>
    <x v="8"/>
    <x v="9"/>
    <x v="1"/>
    <x v="3"/>
    <x v="2"/>
    <x v="0"/>
    <x v="3"/>
    <x v="3"/>
    <x v="1"/>
    <x v="1"/>
  </r>
  <r>
    <s v="TX500211"/>
    <x v="1"/>
    <x v="0"/>
    <n v="77.3"/>
    <n v="77.3"/>
    <x v="8"/>
    <x v="8"/>
    <x v="2"/>
    <x v="0"/>
    <x v="2"/>
    <x v="0"/>
    <x v="6"/>
    <x v="7"/>
    <x v="1"/>
    <x v="2"/>
  </r>
  <r>
    <s v="TX500212"/>
    <x v="1"/>
    <x v="9"/>
    <n v="109.1"/>
    <n v="545.5"/>
    <x v="8"/>
    <x v="12"/>
    <x v="2"/>
    <x v="0"/>
    <x v="0"/>
    <x v="0"/>
    <x v="6"/>
    <x v="2"/>
    <x v="1"/>
    <x v="2"/>
  </r>
  <r>
    <s v="TX500213"/>
    <x v="2"/>
    <x v="12"/>
    <n v="53.9"/>
    <n v="215.6"/>
    <x v="8"/>
    <x v="9"/>
    <x v="1"/>
    <x v="0"/>
    <x v="1"/>
    <x v="0"/>
    <x v="8"/>
    <x v="3"/>
    <x v="1"/>
    <x v="1"/>
  </r>
  <r>
    <s v="TX500214"/>
    <x v="9"/>
    <x v="18"/>
    <n v="21.2"/>
    <n v="551.19999999999993"/>
    <x v="8"/>
    <x v="8"/>
    <x v="2"/>
    <x v="0"/>
    <x v="0"/>
    <x v="0"/>
    <x v="9"/>
    <x v="7"/>
    <x v="1"/>
    <x v="2"/>
  </r>
  <r>
    <s v="TX500215"/>
    <x v="16"/>
    <x v="12"/>
    <n v="69"/>
    <n v="276"/>
    <x v="8"/>
    <x v="7"/>
    <x v="2"/>
    <x v="1"/>
    <x v="1"/>
    <x v="0"/>
    <x v="18"/>
    <x v="1"/>
    <x v="1"/>
    <x v="2"/>
  </r>
  <r>
    <s v="TX500216"/>
    <x v="6"/>
    <x v="2"/>
    <n v="46.2"/>
    <n v="138.60000000000002"/>
    <x v="8"/>
    <x v="7"/>
    <x v="2"/>
    <x v="0"/>
    <x v="2"/>
    <x v="0"/>
    <x v="31"/>
    <x v="1"/>
    <x v="1"/>
    <x v="2"/>
  </r>
  <r>
    <s v="TX500217"/>
    <x v="1"/>
    <x v="9"/>
    <n v="97.4"/>
    <n v="487"/>
    <x v="8"/>
    <x v="14"/>
    <x v="2"/>
    <x v="4"/>
    <x v="2"/>
    <x v="0"/>
    <x v="21"/>
    <x v="5"/>
    <x v="1"/>
    <x v="2"/>
  </r>
  <r>
    <s v="TX500218"/>
    <x v="8"/>
    <x v="9"/>
    <n v="21"/>
    <n v="105"/>
    <x v="8"/>
    <x v="9"/>
    <x v="1"/>
    <x v="0"/>
    <x v="1"/>
    <x v="0"/>
    <x v="21"/>
    <x v="3"/>
    <x v="1"/>
    <x v="1"/>
  </r>
  <r>
    <s v="TX500219"/>
    <x v="5"/>
    <x v="1"/>
    <n v="32.700000000000003"/>
    <n v="65.400000000000006"/>
    <x v="9"/>
    <x v="14"/>
    <x v="2"/>
    <x v="1"/>
    <x v="0"/>
    <x v="0"/>
    <x v="2"/>
    <x v="2"/>
    <x v="1"/>
    <x v="2"/>
  </r>
  <r>
    <s v="TX500220"/>
    <x v="6"/>
    <x v="12"/>
    <n v="48"/>
    <n v="192"/>
    <x v="9"/>
    <x v="7"/>
    <x v="1"/>
    <x v="3"/>
    <x v="0"/>
    <x v="0"/>
    <x v="3"/>
    <x v="3"/>
    <x v="1"/>
    <x v="1"/>
  </r>
  <r>
    <s v="TX500221"/>
    <x v="6"/>
    <x v="2"/>
    <n v="68.2"/>
    <n v="204.60000000000002"/>
    <x v="9"/>
    <x v="16"/>
    <x v="0"/>
    <x v="0"/>
    <x v="2"/>
    <x v="0"/>
    <x v="3"/>
    <x v="5"/>
    <x v="1"/>
    <x v="0"/>
  </r>
  <r>
    <s v="TX500222"/>
    <x v="5"/>
    <x v="0"/>
    <n v="45.4"/>
    <n v="45.4"/>
    <x v="9"/>
    <x v="12"/>
    <x v="1"/>
    <x v="1"/>
    <x v="0"/>
    <x v="0"/>
    <x v="3"/>
    <x v="1"/>
    <x v="1"/>
    <x v="1"/>
  </r>
  <r>
    <s v="TX500223"/>
    <x v="12"/>
    <x v="1"/>
    <n v="53.9"/>
    <n v="107.8"/>
    <x v="9"/>
    <x v="7"/>
    <x v="2"/>
    <x v="2"/>
    <x v="0"/>
    <x v="0"/>
    <x v="3"/>
    <x v="3"/>
    <x v="1"/>
    <x v="2"/>
  </r>
  <r>
    <s v="TX500224"/>
    <x v="2"/>
    <x v="12"/>
    <n v="62.1"/>
    <n v="248.4"/>
    <x v="9"/>
    <x v="16"/>
    <x v="2"/>
    <x v="0"/>
    <x v="0"/>
    <x v="0"/>
    <x v="4"/>
    <x v="5"/>
    <x v="1"/>
    <x v="2"/>
  </r>
  <r>
    <s v="TX500225"/>
    <x v="13"/>
    <x v="3"/>
    <n v="33.1"/>
    <n v="231.70000000000002"/>
    <x v="9"/>
    <x v="11"/>
    <x v="1"/>
    <x v="1"/>
    <x v="0"/>
    <x v="0"/>
    <x v="6"/>
    <x v="0"/>
    <x v="1"/>
    <x v="1"/>
  </r>
  <r>
    <s v="TX500226"/>
    <x v="18"/>
    <x v="9"/>
    <n v="35.200000000000003"/>
    <n v="176"/>
    <x v="9"/>
    <x v="9"/>
    <x v="2"/>
    <x v="1"/>
    <x v="0"/>
    <x v="0"/>
    <x v="6"/>
    <x v="7"/>
    <x v="1"/>
    <x v="2"/>
  </r>
  <r>
    <s v="TX500227"/>
    <x v="9"/>
    <x v="2"/>
    <n v="32.1"/>
    <n v="96.300000000000011"/>
    <x v="9"/>
    <x v="11"/>
    <x v="1"/>
    <x v="3"/>
    <x v="0"/>
    <x v="0"/>
    <x v="8"/>
    <x v="0"/>
    <x v="1"/>
    <x v="1"/>
  </r>
  <r>
    <s v="TX500228"/>
    <x v="11"/>
    <x v="0"/>
    <n v="38.1"/>
    <n v="38.1"/>
    <x v="9"/>
    <x v="11"/>
    <x v="2"/>
    <x v="0"/>
    <x v="2"/>
    <x v="0"/>
    <x v="8"/>
    <x v="0"/>
    <x v="1"/>
    <x v="2"/>
  </r>
  <r>
    <s v="TX500229"/>
    <x v="8"/>
    <x v="0"/>
    <n v="65.2"/>
    <n v="65.2"/>
    <x v="9"/>
    <x v="11"/>
    <x v="2"/>
    <x v="3"/>
    <x v="1"/>
    <x v="0"/>
    <x v="8"/>
    <x v="0"/>
    <x v="1"/>
    <x v="2"/>
  </r>
  <r>
    <s v="TX500230"/>
    <x v="10"/>
    <x v="3"/>
    <n v="55.2"/>
    <n v="386.40000000000003"/>
    <x v="9"/>
    <x v="7"/>
    <x v="1"/>
    <x v="2"/>
    <x v="0"/>
    <x v="0"/>
    <x v="11"/>
    <x v="3"/>
    <x v="1"/>
    <x v="1"/>
  </r>
  <r>
    <s v="TX500231"/>
    <x v="6"/>
    <x v="0"/>
    <n v="62"/>
    <n v="62"/>
    <x v="9"/>
    <x v="16"/>
    <x v="2"/>
    <x v="0"/>
    <x v="0"/>
    <x v="0"/>
    <x v="11"/>
    <x v="5"/>
    <x v="1"/>
    <x v="2"/>
  </r>
  <r>
    <s v="TX500232"/>
    <x v="7"/>
    <x v="2"/>
    <n v="45.9"/>
    <n v="137.69999999999999"/>
    <x v="9"/>
    <x v="7"/>
    <x v="2"/>
    <x v="2"/>
    <x v="0"/>
    <x v="0"/>
    <x v="32"/>
    <x v="3"/>
    <x v="1"/>
    <x v="2"/>
  </r>
  <r>
    <s v="TX500233"/>
    <x v="18"/>
    <x v="2"/>
    <n v="58.3"/>
    <n v="174.89999999999998"/>
    <x v="9"/>
    <x v="9"/>
    <x v="1"/>
    <x v="1"/>
    <x v="1"/>
    <x v="0"/>
    <x v="18"/>
    <x v="7"/>
    <x v="1"/>
    <x v="1"/>
  </r>
  <r>
    <s v="TX500234"/>
    <x v="8"/>
    <x v="1"/>
    <n v="22.3"/>
    <n v="44.6"/>
    <x v="9"/>
    <x v="14"/>
    <x v="2"/>
    <x v="0"/>
    <x v="2"/>
    <x v="0"/>
    <x v="20"/>
    <x v="2"/>
    <x v="1"/>
    <x v="2"/>
  </r>
  <r>
    <s v="TX500235"/>
    <x v="19"/>
    <x v="9"/>
    <n v="24"/>
    <n v="120"/>
    <x v="9"/>
    <x v="7"/>
    <x v="1"/>
    <x v="4"/>
    <x v="0"/>
    <x v="0"/>
    <x v="1"/>
    <x v="3"/>
    <x v="1"/>
    <x v="1"/>
  </r>
  <r>
    <s v="TX500236"/>
    <x v="0"/>
    <x v="7"/>
    <n v="21.3"/>
    <n v="213"/>
    <x v="9"/>
    <x v="9"/>
    <x v="2"/>
    <x v="1"/>
    <x v="2"/>
    <x v="0"/>
    <x v="22"/>
    <x v="7"/>
    <x v="1"/>
    <x v="2"/>
  </r>
  <r>
    <s v="TX500237"/>
    <x v="6"/>
    <x v="24"/>
    <n v="57.8"/>
    <n v="2369.7999999999997"/>
    <x v="9"/>
    <x v="12"/>
    <x v="2"/>
    <x v="0"/>
    <x v="2"/>
    <x v="0"/>
    <x v="3"/>
    <x v="1"/>
    <x v="1"/>
    <x v="2"/>
  </r>
  <r>
    <s v="TX500238"/>
    <x v="10"/>
    <x v="2"/>
    <n v="67.599999999999994"/>
    <n v="202.79999999999998"/>
    <x v="9"/>
    <x v="7"/>
    <x v="2"/>
    <x v="0"/>
    <x v="0"/>
    <x v="0"/>
    <x v="3"/>
    <x v="3"/>
    <x v="1"/>
    <x v="2"/>
  </r>
  <r>
    <s v="TX500239"/>
    <x v="6"/>
    <x v="13"/>
    <n v="66.7"/>
    <n v="400.20000000000005"/>
    <x v="9"/>
    <x v="16"/>
    <x v="1"/>
    <x v="4"/>
    <x v="1"/>
    <x v="0"/>
    <x v="3"/>
    <x v="5"/>
    <x v="1"/>
    <x v="1"/>
  </r>
  <r>
    <s v="TX500240"/>
    <x v="1"/>
    <x v="12"/>
    <n v="53.1"/>
    <n v="212.4"/>
    <x v="9"/>
    <x v="12"/>
    <x v="2"/>
    <x v="1"/>
    <x v="0"/>
    <x v="0"/>
    <x v="3"/>
    <x v="1"/>
    <x v="1"/>
    <x v="2"/>
  </r>
  <r>
    <s v="TX500241"/>
    <x v="12"/>
    <x v="2"/>
    <n v="57.4"/>
    <n v="172.2"/>
    <x v="9"/>
    <x v="14"/>
    <x v="2"/>
    <x v="0"/>
    <x v="2"/>
    <x v="0"/>
    <x v="29"/>
    <x v="2"/>
    <x v="1"/>
    <x v="2"/>
  </r>
  <r>
    <s v="TX500242"/>
    <x v="2"/>
    <x v="9"/>
    <n v="58.1"/>
    <n v="290.5"/>
    <x v="9"/>
    <x v="9"/>
    <x v="1"/>
    <x v="2"/>
    <x v="2"/>
    <x v="0"/>
    <x v="6"/>
    <x v="7"/>
    <x v="1"/>
    <x v="1"/>
  </r>
  <r>
    <s v="TX500243"/>
    <x v="5"/>
    <x v="2"/>
    <n v="31.8"/>
    <n v="95.4"/>
    <x v="10"/>
    <x v="14"/>
    <x v="1"/>
    <x v="3"/>
    <x v="0"/>
    <x v="0"/>
    <x v="6"/>
    <x v="1"/>
    <x v="1"/>
    <x v="1"/>
  </r>
  <r>
    <s v="TX500244"/>
    <x v="4"/>
    <x v="2"/>
    <n v="31.5"/>
    <n v="94.5"/>
    <x v="10"/>
    <x v="16"/>
    <x v="1"/>
    <x v="0"/>
    <x v="1"/>
    <x v="0"/>
    <x v="8"/>
    <x v="2"/>
    <x v="1"/>
    <x v="1"/>
  </r>
  <r>
    <s v="TX500245"/>
    <x v="6"/>
    <x v="3"/>
    <n v="55.9"/>
    <n v="391.3"/>
    <x v="10"/>
    <x v="11"/>
    <x v="2"/>
    <x v="1"/>
    <x v="2"/>
    <x v="0"/>
    <x v="8"/>
    <x v="5"/>
    <x v="1"/>
    <x v="2"/>
  </r>
  <r>
    <s v="TX500246"/>
    <x v="8"/>
    <x v="1"/>
    <n v="36.4"/>
    <n v="72.8"/>
    <x v="10"/>
    <x v="12"/>
    <x v="1"/>
    <x v="1"/>
    <x v="1"/>
    <x v="0"/>
    <x v="9"/>
    <x v="3"/>
    <x v="1"/>
    <x v="1"/>
  </r>
  <r>
    <s v="TX500247"/>
    <x v="1"/>
    <x v="9"/>
    <n v="47.3"/>
    <n v="236.5"/>
    <x v="10"/>
    <x v="16"/>
    <x v="1"/>
    <x v="2"/>
    <x v="0"/>
    <x v="0"/>
    <x v="10"/>
    <x v="2"/>
    <x v="1"/>
    <x v="1"/>
  </r>
  <r>
    <s v="TX500248"/>
    <x v="6"/>
    <x v="2"/>
    <n v="82.5"/>
    <n v="247.5"/>
    <x v="10"/>
    <x v="12"/>
    <x v="1"/>
    <x v="0"/>
    <x v="0"/>
    <x v="0"/>
    <x v="11"/>
    <x v="3"/>
    <x v="1"/>
    <x v="1"/>
  </r>
  <r>
    <s v="TX500249"/>
    <x v="0"/>
    <x v="0"/>
    <n v="14.3"/>
    <n v="14.3"/>
    <x v="10"/>
    <x v="12"/>
    <x v="2"/>
    <x v="0"/>
    <x v="0"/>
    <x v="0"/>
    <x v="21"/>
    <x v="3"/>
    <x v="1"/>
    <x v="2"/>
  </r>
  <r>
    <s v="TX500250"/>
    <x v="2"/>
    <x v="13"/>
    <n v="57.6"/>
    <n v="345.6"/>
    <x v="10"/>
    <x v="17"/>
    <x v="2"/>
    <x v="0"/>
    <x v="0"/>
    <x v="0"/>
    <x v="21"/>
    <x v="12"/>
    <x v="1"/>
    <x v="2"/>
  </r>
  <r>
    <s v="TX500251"/>
    <x v="2"/>
    <x v="2"/>
    <n v="142.4"/>
    <n v="427.20000000000005"/>
    <x v="10"/>
    <x v="14"/>
    <x v="1"/>
    <x v="4"/>
    <x v="1"/>
    <x v="0"/>
    <x v="21"/>
    <x v="1"/>
    <x v="1"/>
    <x v="1"/>
  </r>
  <r>
    <s v="TX500252"/>
    <x v="12"/>
    <x v="0"/>
    <n v="30.2"/>
    <n v="30.2"/>
    <x v="10"/>
    <x v="11"/>
    <x v="1"/>
    <x v="1"/>
    <x v="2"/>
    <x v="0"/>
    <x v="2"/>
    <x v="5"/>
    <x v="1"/>
    <x v="1"/>
  </r>
  <r>
    <s v="TX500253"/>
    <x v="18"/>
    <x v="2"/>
    <n v="65.3"/>
    <n v="195.89999999999998"/>
    <x v="10"/>
    <x v="12"/>
    <x v="3"/>
    <x v="1"/>
    <x v="0"/>
    <x v="0"/>
    <x v="33"/>
    <x v="3"/>
    <x v="1"/>
    <x v="3"/>
  </r>
  <r>
    <s v="TX500254"/>
    <x v="0"/>
    <x v="1"/>
    <n v="33.4"/>
    <n v="66.8"/>
    <x v="10"/>
    <x v="12"/>
    <x v="1"/>
    <x v="1"/>
    <x v="1"/>
    <x v="0"/>
    <x v="22"/>
    <x v="3"/>
    <x v="1"/>
    <x v="1"/>
  </r>
  <r>
    <s v="TX500255"/>
    <x v="7"/>
    <x v="1"/>
    <n v="45.1"/>
    <n v="90.2"/>
    <x v="10"/>
    <x v="18"/>
    <x v="1"/>
    <x v="0"/>
    <x v="0"/>
    <x v="0"/>
    <x v="34"/>
    <x v="9"/>
    <x v="1"/>
    <x v="1"/>
  </r>
  <r>
    <s v="TX500256"/>
    <x v="2"/>
    <x v="3"/>
    <n v="61.7"/>
    <n v="431.90000000000003"/>
    <x v="10"/>
    <x v="14"/>
    <x v="2"/>
    <x v="4"/>
    <x v="0"/>
    <x v="0"/>
    <x v="3"/>
    <x v="1"/>
    <x v="1"/>
    <x v="2"/>
  </r>
  <r>
    <s v="TX500257"/>
    <x v="9"/>
    <x v="2"/>
    <n v="45.1"/>
    <n v="135.30000000000001"/>
    <x v="11"/>
    <x v="14"/>
    <x v="1"/>
    <x v="4"/>
    <x v="1"/>
    <x v="0"/>
    <x v="3"/>
    <x v="3"/>
    <x v="2"/>
    <x v="1"/>
  </r>
  <r>
    <s v="TX500258"/>
    <x v="15"/>
    <x v="9"/>
    <n v="22.7"/>
    <n v="113.5"/>
    <x v="11"/>
    <x v="10"/>
    <x v="1"/>
    <x v="0"/>
    <x v="2"/>
    <x v="0"/>
    <x v="35"/>
    <x v="0"/>
    <x v="2"/>
    <x v="1"/>
  </r>
  <r>
    <s v="TX500259"/>
    <x v="8"/>
    <x v="0"/>
    <n v="17.600000000000001"/>
    <n v="17.600000000000001"/>
    <x v="11"/>
    <x v="14"/>
    <x v="2"/>
    <x v="0"/>
    <x v="2"/>
    <x v="0"/>
    <x v="23"/>
    <x v="3"/>
    <x v="2"/>
    <x v="2"/>
  </r>
  <r>
    <s v="TX500260"/>
    <x v="14"/>
    <x v="1"/>
    <n v="11.3"/>
    <n v="22.6"/>
    <x v="11"/>
    <x v="11"/>
    <x v="2"/>
    <x v="3"/>
    <x v="2"/>
    <x v="0"/>
    <x v="23"/>
    <x v="2"/>
    <x v="2"/>
    <x v="2"/>
  </r>
  <r>
    <s v="TX500261"/>
    <x v="6"/>
    <x v="2"/>
    <n v="53.4"/>
    <n v="160.19999999999999"/>
    <x v="11"/>
    <x v="11"/>
    <x v="1"/>
    <x v="3"/>
    <x v="2"/>
    <x v="0"/>
    <x v="36"/>
    <x v="2"/>
    <x v="2"/>
    <x v="1"/>
  </r>
  <r>
    <s v="TX500262"/>
    <x v="6"/>
    <x v="5"/>
    <n v="51.1"/>
    <n v="562.1"/>
    <x v="11"/>
    <x v="16"/>
    <x v="2"/>
    <x v="2"/>
    <x v="2"/>
    <x v="0"/>
    <x v="8"/>
    <x v="1"/>
    <x v="2"/>
    <x v="2"/>
  </r>
  <r>
    <s v="TX500263"/>
    <x v="8"/>
    <x v="1"/>
    <n v="27.5"/>
    <n v="55"/>
    <x v="11"/>
    <x v="14"/>
    <x v="1"/>
    <x v="4"/>
    <x v="1"/>
    <x v="0"/>
    <x v="8"/>
    <x v="3"/>
    <x v="2"/>
    <x v="1"/>
  </r>
  <r>
    <s v="TX500264"/>
    <x v="9"/>
    <x v="0"/>
    <n v="33.5"/>
    <n v="33.5"/>
    <x v="11"/>
    <x v="16"/>
    <x v="2"/>
    <x v="0"/>
    <x v="4"/>
    <x v="0"/>
    <x v="8"/>
    <x v="1"/>
    <x v="2"/>
    <x v="2"/>
  </r>
  <r>
    <s v="TX500265"/>
    <x v="4"/>
    <x v="0"/>
    <n v="59.5"/>
    <n v="59.5"/>
    <x v="11"/>
    <x v="12"/>
    <x v="1"/>
    <x v="0"/>
    <x v="2"/>
    <x v="0"/>
    <x v="18"/>
    <x v="7"/>
    <x v="2"/>
    <x v="1"/>
  </r>
  <r>
    <s v="TX500266"/>
    <x v="17"/>
    <x v="12"/>
    <n v="23.5"/>
    <n v="94"/>
    <x v="11"/>
    <x v="14"/>
    <x v="2"/>
    <x v="3"/>
    <x v="3"/>
    <x v="0"/>
    <x v="19"/>
    <x v="3"/>
    <x v="2"/>
    <x v="2"/>
  </r>
  <r>
    <s v="TX500267"/>
    <x v="6"/>
    <x v="0"/>
    <n v="49.7"/>
    <n v="49.7"/>
    <x v="11"/>
    <x v="14"/>
    <x v="0"/>
    <x v="1"/>
    <x v="2"/>
    <x v="0"/>
    <x v="20"/>
    <x v="3"/>
    <x v="2"/>
    <x v="0"/>
  </r>
  <r>
    <s v="TX500268"/>
    <x v="6"/>
    <x v="12"/>
    <n v="44.2"/>
    <n v="176.8"/>
    <x v="11"/>
    <x v="11"/>
    <x v="2"/>
    <x v="0"/>
    <x v="2"/>
    <x v="0"/>
    <x v="21"/>
    <x v="2"/>
    <x v="2"/>
    <x v="2"/>
  </r>
  <r>
    <s v="TX500269"/>
    <x v="8"/>
    <x v="0"/>
    <n v="22.1"/>
    <n v="22.1"/>
    <x v="11"/>
    <x v="15"/>
    <x v="2"/>
    <x v="1"/>
    <x v="1"/>
    <x v="0"/>
    <x v="33"/>
    <x v="5"/>
    <x v="2"/>
    <x v="2"/>
  </r>
  <r>
    <s v="TX500270"/>
    <x v="6"/>
    <x v="2"/>
    <n v="90.9"/>
    <n v="272.70000000000005"/>
    <x v="11"/>
    <x v="14"/>
    <x v="2"/>
    <x v="2"/>
    <x v="4"/>
    <x v="0"/>
    <x v="3"/>
    <x v="3"/>
    <x v="2"/>
    <x v="2"/>
  </r>
  <r>
    <s v="TX500271"/>
    <x v="8"/>
    <x v="2"/>
    <n v="44.5"/>
    <n v="133.5"/>
    <x v="11"/>
    <x v="14"/>
    <x v="2"/>
    <x v="1"/>
    <x v="0"/>
    <x v="0"/>
    <x v="3"/>
    <x v="3"/>
    <x v="2"/>
    <x v="2"/>
  </r>
  <r>
    <s v="TX500272"/>
    <x v="9"/>
    <x v="13"/>
    <n v="32.299999999999997"/>
    <n v="193.79999999999998"/>
    <x v="11"/>
    <x v="15"/>
    <x v="2"/>
    <x v="0"/>
    <x v="0"/>
    <x v="0"/>
    <x v="3"/>
    <x v="5"/>
    <x v="2"/>
    <x v="2"/>
  </r>
  <r>
    <s v="TX500273"/>
    <x v="17"/>
    <x v="2"/>
    <n v="87.5"/>
    <n v="262.5"/>
    <x v="11"/>
    <x v="14"/>
    <x v="2"/>
    <x v="1"/>
    <x v="1"/>
    <x v="0"/>
    <x v="3"/>
    <x v="3"/>
    <x v="2"/>
    <x v="2"/>
  </r>
  <r>
    <s v="TX500274"/>
    <x v="16"/>
    <x v="9"/>
    <n v="48.7"/>
    <n v="243.5"/>
    <x v="11"/>
    <x v="14"/>
    <x v="1"/>
    <x v="2"/>
    <x v="0"/>
    <x v="0"/>
    <x v="3"/>
    <x v="3"/>
    <x v="2"/>
    <x v="1"/>
  </r>
  <r>
    <s v="TX500275"/>
    <x v="0"/>
    <x v="9"/>
    <n v="22.5"/>
    <n v="112.5"/>
    <x v="11"/>
    <x v="14"/>
    <x v="1"/>
    <x v="0"/>
    <x v="0"/>
    <x v="0"/>
    <x v="3"/>
    <x v="3"/>
    <x v="2"/>
    <x v="1"/>
  </r>
  <r>
    <s v="TX500276"/>
    <x v="1"/>
    <x v="8"/>
    <n v="65.900000000000006"/>
    <n v="527.20000000000005"/>
    <x v="11"/>
    <x v="11"/>
    <x v="2"/>
    <x v="1"/>
    <x v="2"/>
    <x v="0"/>
    <x v="3"/>
    <x v="2"/>
    <x v="2"/>
    <x v="2"/>
  </r>
  <r>
    <s v="TX500277"/>
    <x v="6"/>
    <x v="9"/>
    <n v="41.9"/>
    <n v="209.5"/>
    <x v="11"/>
    <x v="18"/>
    <x v="0"/>
    <x v="0"/>
    <x v="0"/>
    <x v="0"/>
    <x v="3"/>
    <x v="6"/>
    <x v="2"/>
    <x v="0"/>
  </r>
  <r>
    <s v="TX500278"/>
    <x v="1"/>
    <x v="9"/>
    <n v="67.5"/>
    <n v="337.5"/>
    <x v="11"/>
    <x v="14"/>
    <x v="2"/>
    <x v="0"/>
    <x v="2"/>
    <x v="0"/>
    <x v="3"/>
    <x v="3"/>
    <x v="2"/>
    <x v="2"/>
  </r>
  <r>
    <s v="TX500279"/>
    <x v="9"/>
    <x v="0"/>
    <n v="60.4"/>
    <n v="60.4"/>
    <x v="12"/>
    <x v="11"/>
    <x v="2"/>
    <x v="1"/>
    <x v="1"/>
    <x v="0"/>
    <x v="3"/>
    <x v="1"/>
    <x v="2"/>
    <x v="2"/>
  </r>
  <r>
    <s v="TX500280"/>
    <x v="1"/>
    <x v="3"/>
    <n v="30.4"/>
    <n v="212.79999999999998"/>
    <x v="12"/>
    <x v="15"/>
    <x v="2"/>
    <x v="4"/>
    <x v="0"/>
    <x v="0"/>
    <x v="3"/>
    <x v="2"/>
    <x v="2"/>
    <x v="2"/>
  </r>
  <r>
    <s v="TX500281"/>
    <x v="14"/>
    <x v="1"/>
    <n v="24.5"/>
    <n v="49"/>
    <x v="12"/>
    <x v="16"/>
    <x v="1"/>
    <x v="3"/>
    <x v="2"/>
    <x v="0"/>
    <x v="3"/>
    <x v="3"/>
    <x v="2"/>
    <x v="1"/>
  </r>
  <r>
    <s v="TX500282"/>
    <x v="2"/>
    <x v="2"/>
    <n v="105.9"/>
    <n v="317.70000000000005"/>
    <x v="12"/>
    <x v="13"/>
    <x v="1"/>
    <x v="0"/>
    <x v="0"/>
    <x v="0"/>
    <x v="37"/>
    <x v="0"/>
    <x v="2"/>
    <x v="1"/>
  </r>
  <r>
    <s v="TX500283"/>
    <x v="10"/>
    <x v="25"/>
    <n v="25.9"/>
    <n v="621.59999999999991"/>
    <x v="12"/>
    <x v="16"/>
    <x v="2"/>
    <x v="4"/>
    <x v="0"/>
    <x v="0"/>
    <x v="23"/>
    <x v="3"/>
    <x v="2"/>
    <x v="2"/>
  </r>
  <r>
    <s v="TX500284"/>
    <x v="6"/>
    <x v="2"/>
    <n v="66.8"/>
    <n v="200.39999999999998"/>
    <x v="12"/>
    <x v="14"/>
    <x v="1"/>
    <x v="0"/>
    <x v="0"/>
    <x v="0"/>
    <x v="23"/>
    <x v="7"/>
    <x v="2"/>
    <x v="1"/>
  </r>
  <r>
    <s v="TX500285"/>
    <x v="6"/>
    <x v="2"/>
    <n v="112.3"/>
    <n v="336.9"/>
    <x v="12"/>
    <x v="16"/>
    <x v="1"/>
    <x v="2"/>
    <x v="4"/>
    <x v="0"/>
    <x v="6"/>
    <x v="3"/>
    <x v="2"/>
    <x v="1"/>
  </r>
  <r>
    <s v="TX500286"/>
    <x v="1"/>
    <x v="13"/>
    <n v="94.1"/>
    <n v="564.59999999999991"/>
    <x v="12"/>
    <x v="16"/>
    <x v="2"/>
    <x v="0"/>
    <x v="4"/>
    <x v="0"/>
    <x v="6"/>
    <x v="3"/>
    <x v="2"/>
    <x v="2"/>
  </r>
  <r>
    <s v="TX500287"/>
    <x v="5"/>
    <x v="0"/>
    <n v="40.700000000000003"/>
    <n v="40.700000000000003"/>
    <x v="12"/>
    <x v="15"/>
    <x v="2"/>
    <x v="2"/>
    <x v="0"/>
    <x v="0"/>
    <x v="6"/>
    <x v="2"/>
    <x v="2"/>
    <x v="2"/>
  </r>
  <r>
    <s v="TX500288"/>
    <x v="3"/>
    <x v="1"/>
    <n v="71.400000000000006"/>
    <n v="142.80000000000001"/>
    <x v="12"/>
    <x v="16"/>
    <x v="1"/>
    <x v="0"/>
    <x v="0"/>
    <x v="0"/>
    <x v="7"/>
    <x v="3"/>
    <x v="2"/>
    <x v="1"/>
  </r>
  <r>
    <s v="TX500289"/>
    <x v="0"/>
    <x v="16"/>
    <n v="15.6"/>
    <n v="280.8"/>
    <x v="12"/>
    <x v="16"/>
    <x v="1"/>
    <x v="1"/>
    <x v="3"/>
    <x v="0"/>
    <x v="8"/>
    <x v="3"/>
    <x v="2"/>
    <x v="1"/>
  </r>
  <r>
    <s v="TX500290"/>
    <x v="10"/>
    <x v="12"/>
    <n v="37.799999999999997"/>
    <n v="151.19999999999999"/>
    <x v="12"/>
    <x v="16"/>
    <x v="1"/>
    <x v="2"/>
    <x v="2"/>
    <x v="0"/>
    <x v="8"/>
    <x v="3"/>
    <x v="2"/>
    <x v="1"/>
  </r>
  <r>
    <s v="TX500291"/>
    <x v="4"/>
    <x v="2"/>
    <n v="28.1"/>
    <n v="84.300000000000011"/>
    <x v="12"/>
    <x v="10"/>
    <x v="1"/>
    <x v="0"/>
    <x v="0"/>
    <x v="0"/>
    <x v="8"/>
    <x v="5"/>
    <x v="2"/>
    <x v="1"/>
  </r>
  <r>
    <s v="TX500292"/>
    <x v="7"/>
    <x v="13"/>
    <n v="51.4"/>
    <n v="308.39999999999998"/>
    <x v="12"/>
    <x v="10"/>
    <x v="1"/>
    <x v="0"/>
    <x v="0"/>
    <x v="0"/>
    <x v="8"/>
    <x v="5"/>
    <x v="2"/>
    <x v="1"/>
  </r>
  <r>
    <s v="TX500293"/>
    <x v="7"/>
    <x v="1"/>
    <n v="97.7"/>
    <n v="195.4"/>
    <x v="12"/>
    <x v="11"/>
    <x v="2"/>
    <x v="4"/>
    <x v="2"/>
    <x v="0"/>
    <x v="17"/>
    <x v="1"/>
    <x v="2"/>
    <x v="2"/>
  </r>
  <r>
    <s v="TX500294"/>
    <x v="1"/>
    <x v="12"/>
    <n v="63.8"/>
    <n v="255.2"/>
    <x v="12"/>
    <x v="16"/>
    <x v="1"/>
    <x v="2"/>
    <x v="0"/>
    <x v="0"/>
    <x v="38"/>
    <x v="3"/>
    <x v="2"/>
    <x v="1"/>
  </r>
  <r>
    <s v="TX500295"/>
    <x v="13"/>
    <x v="1"/>
    <n v="20.100000000000001"/>
    <n v="40.200000000000003"/>
    <x v="12"/>
    <x v="11"/>
    <x v="1"/>
    <x v="0"/>
    <x v="2"/>
    <x v="0"/>
    <x v="20"/>
    <x v="1"/>
    <x v="2"/>
    <x v="1"/>
  </r>
  <r>
    <s v="TX500296"/>
    <x v="11"/>
    <x v="2"/>
    <n v="50.4"/>
    <n v="151.19999999999999"/>
    <x v="12"/>
    <x v="15"/>
    <x v="2"/>
    <x v="3"/>
    <x v="0"/>
    <x v="0"/>
    <x v="13"/>
    <x v="2"/>
    <x v="2"/>
    <x v="2"/>
  </r>
  <r>
    <s v="TX500297"/>
    <x v="0"/>
    <x v="0"/>
    <n v="16.2"/>
    <n v="16.2"/>
    <x v="12"/>
    <x v="19"/>
    <x v="2"/>
    <x v="1"/>
    <x v="0"/>
    <x v="0"/>
    <x v="1"/>
    <x v="10"/>
    <x v="2"/>
    <x v="2"/>
  </r>
  <r>
    <s v="TX500298"/>
    <x v="6"/>
    <x v="3"/>
    <n v="80.900000000000006"/>
    <n v="566.30000000000007"/>
    <x v="12"/>
    <x v="11"/>
    <x v="1"/>
    <x v="4"/>
    <x v="4"/>
    <x v="0"/>
    <x v="2"/>
    <x v="1"/>
    <x v="2"/>
    <x v="1"/>
  </r>
  <r>
    <s v="TX500299"/>
    <x v="9"/>
    <x v="13"/>
    <n v="95.2"/>
    <n v="571.20000000000005"/>
    <x v="12"/>
    <x v="11"/>
    <x v="2"/>
    <x v="0"/>
    <x v="2"/>
    <x v="0"/>
    <x v="2"/>
    <x v="1"/>
    <x v="2"/>
    <x v="2"/>
  </r>
  <r>
    <s v="TX500300"/>
    <x v="5"/>
    <x v="8"/>
    <n v="70.400000000000006"/>
    <n v="563.20000000000005"/>
    <x v="12"/>
    <x v="16"/>
    <x v="1"/>
    <x v="1"/>
    <x v="1"/>
    <x v="0"/>
    <x v="3"/>
    <x v="3"/>
    <x v="2"/>
    <x v="1"/>
  </r>
  <r>
    <s v="TX500301"/>
    <x v="0"/>
    <x v="9"/>
    <n v="10.7"/>
    <n v="53.5"/>
    <x v="12"/>
    <x v="10"/>
    <x v="2"/>
    <x v="2"/>
    <x v="0"/>
    <x v="0"/>
    <x v="3"/>
    <x v="5"/>
    <x v="2"/>
    <x v="2"/>
  </r>
  <r>
    <s v="TX500302"/>
    <x v="8"/>
    <x v="9"/>
    <n v="19.600000000000001"/>
    <n v="98"/>
    <x v="12"/>
    <x v="11"/>
    <x v="2"/>
    <x v="0"/>
    <x v="3"/>
    <x v="0"/>
    <x v="3"/>
    <x v="1"/>
    <x v="2"/>
    <x v="2"/>
  </r>
  <r>
    <s v="TX500303"/>
    <x v="8"/>
    <x v="5"/>
    <n v="34.700000000000003"/>
    <n v="381.70000000000005"/>
    <x v="12"/>
    <x v="11"/>
    <x v="2"/>
    <x v="0"/>
    <x v="2"/>
    <x v="0"/>
    <x v="3"/>
    <x v="1"/>
    <x v="2"/>
    <x v="2"/>
  </r>
  <r>
    <s v="TX500304"/>
    <x v="10"/>
    <x v="11"/>
    <n v="34.1"/>
    <n v="306.90000000000003"/>
    <x v="12"/>
    <x v="16"/>
    <x v="2"/>
    <x v="4"/>
    <x v="1"/>
    <x v="0"/>
    <x v="3"/>
    <x v="3"/>
    <x v="2"/>
    <x v="2"/>
  </r>
  <r>
    <s v="TX500305"/>
    <x v="0"/>
    <x v="26"/>
    <n v="29.3"/>
    <n v="1435.7"/>
    <x v="12"/>
    <x v="14"/>
    <x v="1"/>
    <x v="0"/>
    <x v="1"/>
    <x v="0"/>
    <x v="3"/>
    <x v="7"/>
    <x v="2"/>
    <x v="1"/>
  </r>
  <r>
    <s v="TX500306"/>
    <x v="1"/>
    <x v="0"/>
    <n v="55.2"/>
    <n v="55.2"/>
    <x v="12"/>
    <x v="16"/>
    <x v="2"/>
    <x v="0"/>
    <x v="1"/>
    <x v="0"/>
    <x v="3"/>
    <x v="3"/>
    <x v="2"/>
    <x v="2"/>
  </r>
  <r>
    <s v="TX500307"/>
    <x v="18"/>
    <x v="2"/>
    <n v="26"/>
    <n v="78"/>
    <x v="12"/>
    <x v="15"/>
    <x v="2"/>
    <x v="0"/>
    <x v="2"/>
    <x v="0"/>
    <x v="3"/>
    <x v="2"/>
    <x v="2"/>
    <x v="2"/>
  </r>
  <r>
    <s v="TX500308"/>
    <x v="14"/>
    <x v="1"/>
    <n v="14.2"/>
    <n v="28.4"/>
    <x v="12"/>
    <x v="13"/>
    <x v="2"/>
    <x v="3"/>
    <x v="0"/>
    <x v="0"/>
    <x v="39"/>
    <x v="0"/>
    <x v="2"/>
    <x v="2"/>
  </r>
  <r>
    <s v="TX500309"/>
    <x v="8"/>
    <x v="11"/>
    <n v="22.7"/>
    <n v="204.29999999999998"/>
    <x v="13"/>
    <x v="11"/>
    <x v="1"/>
    <x v="1"/>
    <x v="0"/>
    <x v="0"/>
    <x v="6"/>
    <x v="3"/>
    <x v="2"/>
    <x v="1"/>
  </r>
  <r>
    <s v="TX500310"/>
    <x v="0"/>
    <x v="20"/>
    <n v="19.8"/>
    <n v="297"/>
    <x v="13"/>
    <x v="16"/>
    <x v="2"/>
    <x v="0"/>
    <x v="2"/>
    <x v="0"/>
    <x v="6"/>
    <x v="7"/>
    <x v="2"/>
    <x v="2"/>
  </r>
  <r>
    <s v="TX500311"/>
    <x v="0"/>
    <x v="2"/>
    <n v="31.7"/>
    <n v="95.1"/>
    <x v="13"/>
    <x v="11"/>
    <x v="1"/>
    <x v="2"/>
    <x v="0"/>
    <x v="0"/>
    <x v="6"/>
    <x v="3"/>
    <x v="2"/>
    <x v="1"/>
  </r>
  <r>
    <s v="TX500312"/>
    <x v="8"/>
    <x v="12"/>
    <n v="30.4"/>
    <n v="121.6"/>
    <x v="13"/>
    <x v="13"/>
    <x v="1"/>
    <x v="0"/>
    <x v="0"/>
    <x v="0"/>
    <x v="6"/>
    <x v="5"/>
    <x v="2"/>
    <x v="1"/>
  </r>
  <r>
    <s v="TX500313"/>
    <x v="0"/>
    <x v="12"/>
    <n v="25.6"/>
    <n v="102.4"/>
    <x v="13"/>
    <x v="11"/>
    <x v="1"/>
    <x v="3"/>
    <x v="0"/>
    <x v="0"/>
    <x v="8"/>
    <x v="3"/>
    <x v="2"/>
    <x v="1"/>
  </r>
  <r>
    <s v="TX500314"/>
    <x v="5"/>
    <x v="1"/>
    <n v="34.9"/>
    <n v="69.8"/>
    <x v="13"/>
    <x v="11"/>
    <x v="2"/>
    <x v="2"/>
    <x v="0"/>
    <x v="0"/>
    <x v="9"/>
    <x v="3"/>
    <x v="2"/>
    <x v="2"/>
  </r>
  <r>
    <s v="TX500315"/>
    <x v="7"/>
    <x v="13"/>
    <n v="42.7"/>
    <n v="256.20000000000005"/>
    <x v="13"/>
    <x v="10"/>
    <x v="1"/>
    <x v="2"/>
    <x v="1"/>
    <x v="0"/>
    <x v="11"/>
    <x v="2"/>
    <x v="2"/>
    <x v="1"/>
  </r>
  <r>
    <s v="TX500316"/>
    <x v="8"/>
    <x v="0"/>
    <n v="23.9"/>
    <n v="23.9"/>
    <x v="13"/>
    <x v="15"/>
    <x v="2"/>
    <x v="3"/>
    <x v="0"/>
    <x v="0"/>
    <x v="11"/>
    <x v="1"/>
    <x v="2"/>
    <x v="2"/>
  </r>
  <r>
    <s v="TX500317"/>
    <x v="6"/>
    <x v="0"/>
    <n v="124.3"/>
    <n v="124.3"/>
    <x v="13"/>
    <x v="11"/>
    <x v="0"/>
    <x v="2"/>
    <x v="1"/>
    <x v="0"/>
    <x v="21"/>
    <x v="3"/>
    <x v="2"/>
    <x v="0"/>
  </r>
  <r>
    <s v="TX500318"/>
    <x v="8"/>
    <x v="13"/>
    <n v="35.9"/>
    <n v="215.39999999999998"/>
    <x v="13"/>
    <x v="11"/>
    <x v="2"/>
    <x v="0"/>
    <x v="1"/>
    <x v="0"/>
    <x v="1"/>
    <x v="3"/>
    <x v="2"/>
    <x v="2"/>
  </r>
  <r>
    <s v="TX500319"/>
    <x v="2"/>
    <x v="1"/>
    <n v="69.099999999999994"/>
    <n v="138.19999999999999"/>
    <x v="13"/>
    <x v="10"/>
    <x v="2"/>
    <x v="0"/>
    <x v="2"/>
    <x v="0"/>
    <x v="22"/>
    <x v="2"/>
    <x v="2"/>
    <x v="2"/>
  </r>
  <r>
    <s v="TX500320"/>
    <x v="7"/>
    <x v="0"/>
    <n v="58.4"/>
    <n v="58.4"/>
    <x v="13"/>
    <x v="13"/>
    <x v="1"/>
    <x v="0"/>
    <x v="0"/>
    <x v="0"/>
    <x v="22"/>
    <x v="5"/>
    <x v="2"/>
    <x v="1"/>
  </r>
  <r>
    <s v="TX500321"/>
    <x v="5"/>
    <x v="0"/>
    <n v="65.2"/>
    <n v="65.2"/>
    <x v="13"/>
    <x v="15"/>
    <x v="3"/>
    <x v="4"/>
    <x v="4"/>
    <x v="0"/>
    <x v="3"/>
    <x v="1"/>
    <x v="2"/>
    <x v="3"/>
  </r>
  <r>
    <s v="TX500322"/>
    <x v="8"/>
    <x v="14"/>
    <n v="32.700000000000003"/>
    <n v="555.90000000000009"/>
    <x v="13"/>
    <x v="20"/>
    <x v="0"/>
    <x v="4"/>
    <x v="0"/>
    <x v="0"/>
    <x v="3"/>
    <x v="6"/>
    <x v="2"/>
    <x v="0"/>
  </r>
  <r>
    <s v="TX500323"/>
    <x v="10"/>
    <x v="3"/>
    <n v="24.4"/>
    <n v="170.79999999999998"/>
    <x v="13"/>
    <x v="11"/>
    <x v="2"/>
    <x v="0"/>
    <x v="0"/>
    <x v="0"/>
    <x v="3"/>
    <x v="3"/>
    <x v="2"/>
    <x v="2"/>
  </r>
  <r>
    <s v="TX500324"/>
    <x v="14"/>
    <x v="1"/>
    <n v="50.4"/>
    <n v="100.8"/>
    <x v="13"/>
    <x v="21"/>
    <x v="1"/>
    <x v="0"/>
    <x v="1"/>
    <x v="0"/>
    <x v="3"/>
    <x v="4"/>
    <x v="2"/>
    <x v="1"/>
  </r>
  <r>
    <s v="TX500325"/>
    <x v="1"/>
    <x v="1"/>
    <n v="100"/>
    <n v="200"/>
    <x v="13"/>
    <x v="11"/>
    <x v="2"/>
    <x v="0"/>
    <x v="0"/>
    <x v="0"/>
    <x v="3"/>
    <x v="3"/>
    <x v="2"/>
    <x v="2"/>
  </r>
  <r>
    <s v="TX500326"/>
    <x v="10"/>
    <x v="2"/>
    <n v="43"/>
    <n v="129"/>
    <x v="14"/>
    <x v="11"/>
    <x v="2"/>
    <x v="2"/>
    <x v="1"/>
    <x v="0"/>
    <x v="3"/>
    <x v="7"/>
    <x v="2"/>
    <x v="2"/>
  </r>
  <r>
    <s v="TX500327"/>
    <x v="1"/>
    <x v="9"/>
    <n v="64.400000000000006"/>
    <n v="322"/>
    <x v="14"/>
    <x v="10"/>
    <x v="1"/>
    <x v="2"/>
    <x v="1"/>
    <x v="0"/>
    <x v="3"/>
    <x v="1"/>
    <x v="2"/>
    <x v="1"/>
  </r>
  <r>
    <s v="TX500328"/>
    <x v="18"/>
    <x v="1"/>
    <n v="57.4"/>
    <n v="114.8"/>
    <x v="14"/>
    <x v="15"/>
    <x v="1"/>
    <x v="2"/>
    <x v="1"/>
    <x v="0"/>
    <x v="3"/>
    <x v="3"/>
    <x v="2"/>
    <x v="1"/>
  </r>
  <r>
    <s v="TX500329"/>
    <x v="2"/>
    <x v="2"/>
    <n v="55.1"/>
    <n v="165.3"/>
    <x v="14"/>
    <x v="13"/>
    <x v="2"/>
    <x v="1"/>
    <x v="0"/>
    <x v="0"/>
    <x v="3"/>
    <x v="2"/>
    <x v="2"/>
    <x v="2"/>
  </r>
  <r>
    <s v="TX500330"/>
    <x v="7"/>
    <x v="12"/>
    <n v="45.4"/>
    <n v="181.6"/>
    <x v="14"/>
    <x v="15"/>
    <x v="2"/>
    <x v="1"/>
    <x v="0"/>
    <x v="0"/>
    <x v="3"/>
    <x v="3"/>
    <x v="2"/>
    <x v="2"/>
  </r>
  <r>
    <s v="TX500331"/>
    <x v="3"/>
    <x v="2"/>
    <n v="93.3"/>
    <n v="279.89999999999998"/>
    <x v="14"/>
    <x v="15"/>
    <x v="2"/>
    <x v="0"/>
    <x v="0"/>
    <x v="0"/>
    <x v="40"/>
    <x v="3"/>
    <x v="2"/>
    <x v="2"/>
  </r>
  <r>
    <s v="TX500332"/>
    <x v="2"/>
    <x v="10"/>
    <n v="158.19999999999999"/>
    <n v="3005.7999999999997"/>
    <x v="14"/>
    <x v="15"/>
    <x v="2"/>
    <x v="1"/>
    <x v="2"/>
    <x v="0"/>
    <x v="16"/>
    <x v="3"/>
    <x v="2"/>
    <x v="2"/>
  </r>
  <r>
    <s v="TX500333"/>
    <x v="2"/>
    <x v="1"/>
    <n v="74.900000000000006"/>
    <n v="149.80000000000001"/>
    <x v="14"/>
    <x v="10"/>
    <x v="1"/>
    <x v="3"/>
    <x v="0"/>
    <x v="0"/>
    <x v="6"/>
    <x v="1"/>
    <x v="2"/>
    <x v="1"/>
  </r>
  <r>
    <s v="TX500334"/>
    <x v="8"/>
    <x v="3"/>
    <n v="26"/>
    <n v="182"/>
    <x v="14"/>
    <x v="13"/>
    <x v="2"/>
    <x v="1"/>
    <x v="0"/>
    <x v="0"/>
    <x v="8"/>
    <x v="2"/>
    <x v="2"/>
    <x v="2"/>
  </r>
  <r>
    <s v="TX500335"/>
    <x v="9"/>
    <x v="13"/>
    <n v="37.5"/>
    <n v="225"/>
    <x v="14"/>
    <x v="15"/>
    <x v="2"/>
    <x v="0"/>
    <x v="1"/>
    <x v="0"/>
    <x v="8"/>
    <x v="3"/>
    <x v="2"/>
    <x v="2"/>
  </r>
  <r>
    <s v="TX500336"/>
    <x v="6"/>
    <x v="1"/>
    <n v="75.8"/>
    <n v="151.6"/>
    <x v="14"/>
    <x v="20"/>
    <x v="1"/>
    <x v="0"/>
    <x v="0"/>
    <x v="0"/>
    <x v="8"/>
    <x v="4"/>
    <x v="2"/>
    <x v="1"/>
  </r>
  <r>
    <s v="TX500337"/>
    <x v="7"/>
    <x v="0"/>
    <n v="48.5"/>
    <n v="48.5"/>
    <x v="14"/>
    <x v="22"/>
    <x v="0"/>
    <x v="4"/>
    <x v="2"/>
    <x v="0"/>
    <x v="8"/>
    <x v="13"/>
    <x v="2"/>
    <x v="0"/>
  </r>
  <r>
    <s v="TX500338"/>
    <x v="6"/>
    <x v="2"/>
    <n v="98.9"/>
    <n v="296.70000000000005"/>
    <x v="14"/>
    <x v="10"/>
    <x v="2"/>
    <x v="4"/>
    <x v="1"/>
    <x v="0"/>
    <x v="8"/>
    <x v="1"/>
    <x v="2"/>
    <x v="2"/>
  </r>
  <r>
    <s v="TX500339"/>
    <x v="1"/>
    <x v="4"/>
    <n v="50.9"/>
    <n v="610.79999999999995"/>
    <x v="14"/>
    <x v="11"/>
    <x v="1"/>
    <x v="4"/>
    <x v="0"/>
    <x v="0"/>
    <x v="8"/>
    <x v="7"/>
    <x v="2"/>
    <x v="1"/>
  </r>
  <r>
    <s v="TX500340"/>
    <x v="12"/>
    <x v="13"/>
    <n v="84.7"/>
    <n v="508.20000000000005"/>
    <x v="14"/>
    <x v="11"/>
    <x v="2"/>
    <x v="2"/>
    <x v="0"/>
    <x v="0"/>
    <x v="8"/>
    <x v="7"/>
    <x v="2"/>
    <x v="2"/>
  </r>
  <r>
    <s v="TX500341"/>
    <x v="8"/>
    <x v="0"/>
    <n v="20.7"/>
    <n v="20.7"/>
    <x v="14"/>
    <x v="10"/>
    <x v="2"/>
    <x v="3"/>
    <x v="2"/>
    <x v="0"/>
    <x v="8"/>
    <x v="1"/>
    <x v="2"/>
    <x v="2"/>
  </r>
  <r>
    <s v="TX500342"/>
    <x v="12"/>
    <x v="11"/>
    <n v="57.8"/>
    <n v="520.19999999999993"/>
    <x v="14"/>
    <x v="19"/>
    <x v="1"/>
    <x v="0"/>
    <x v="4"/>
    <x v="0"/>
    <x v="17"/>
    <x v="11"/>
    <x v="2"/>
    <x v="1"/>
  </r>
  <r>
    <s v="TX500343"/>
    <x v="2"/>
    <x v="1"/>
    <n v="106.9"/>
    <n v="213.8"/>
    <x v="14"/>
    <x v="10"/>
    <x v="2"/>
    <x v="0"/>
    <x v="2"/>
    <x v="0"/>
    <x v="41"/>
    <x v="1"/>
    <x v="2"/>
    <x v="2"/>
  </r>
  <r>
    <s v="TX500344"/>
    <x v="3"/>
    <x v="9"/>
    <n v="45.2"/>
    <n v="226"/>
    <x v="14"/>
    <x v="18"/>
    <x v="2"/>
    <x v="1"/>
    <x v="0"/>
    <x v="0"/>
    <x v="21"/>
    <x v="5"/>
    <x v="2"/>
    <x v="2"/>
  </r>
  <r>
    <s v="TX500345"/>
    <x v="8"/>
    <x v="15"/>
    <n v="34.6"/>
    <n v="449.8"/>
    <x v="14"/>
    <x v="11"/>
    <x v="2"/>
    <x v="1"/>
    <x v="1"/>
    <x v="0"/>
    <x v="21"/>
    <x v="7"/>
    <x v="2"/>
    <x v="2"/>
  </r>
  <r>
    <s v="TX500346"/>
    <x v="15"/>
    <x v="0"/>
    <n v="43.8"/>
    <n v="43.8"/>
    <x v="14"/>
    <x v="10"/>
    <x v="0"/>
    <x v="0"/>
    <x v="2"/>
    <x v="0"/>
    <x v="21"/>
    <x v="1"/>
    <x v="2"/>
    <x v="0"/>
  </r>
  <r>
    <s v="TX500347"/>
    <x v="15"/>
    <x v="0"/>
    <n v="20.399999999999999"/>
    <n v="20.399999999999999"/>
    <x v="14"/>
    <x v="10"/>
    <x v="1"/>
    <x v="4"/>
    <x v="1"/>
    <x v="0"/>
    <x v="21"/>
    <x v="1"/>
    <x v="2"/>
    <x v="1"/>
  </r>
  <r>
    <s v="TX500348"/>
    <x v="1"/>
    <x v="0"/>
    <n v="36.700000000000003"/>
    <n v="36.700000000000003"/>
    <x v="14"/>
    <x v="15"/>
    <x v="1"/>
    <x v="0"/>
    <x v="1"/>
    <x v="0"/>
    <x v="1"/>
    <x v="3"/>
    <x v="2"/>
    <x v="1"/>
  </r>
  <r>
    <s v="TX500349"/>
    <x v="8"/>
    <x v="2"/>
    <n v="27.2"/>
    <n v="81.599999999999994"/>
    <x v="14"/>
    <x v="18"/>
    <x v="1"/>
    <x v="0"/>
    <x v="2"/>
    <x v="0"/>
    <x v="1"/>
    <x v="5"/>
    <x v="2"/>
    <x v="1"/>
  </r>
  <r>
    <s v="TX500350"/>
    <x v="6"/>
    <x v="0"/>
    <n v="58.2"/>
    <n v="58.2"/>
    <x v="14"/>
    <x v="15"/>
    <x v="2"/>
    <x v="0"/>
    <x v="2"/>
    <x v="0"/>
    <x v="42"/>
    <x v="3"/>
    <x v="2"/>
    <x v="2"/>
  </r>
  <r>
    <s v="TX500351"/>
    <x v="8"/>
    <x v="2"/>
    <n v="25.6"/>
    <n v="76.800000000000011"/>
    <x v="14"/>
    <x v="15"/>
    <x v="1"/>
    <x v="4"/>
    <x v="4"/>
    <x v="0"/>
    <x v="2"/>
    <x v="3"/>
    <x v="2"/>
    <x v="1"/>
  </r>
  <r>
    <s v="TX500352"/>
    <x v="10"/>
    <x v="0"/>
    <n v="21.2"/>
    <n v="21.2"/>
    <x v="14"/>
    <x v="11"/>
    <x v="2"/>
    <x v="1"/>
    <x v="2"/>
    <x v="0"/>
    <x v="3"/>
    <x v="7"/>
    <x v="2"/>
    <x v="2"/>
  </r>
  <r>
    <s v="TX500353"/>
    <x v="6"/>
    <x v="1"/>
    <n v="48.2"/>
    <n v="96.4"/>
    <x v="14"/>
    <x v="23"/>
    <x v="2"/>
    <x v="0"/>
    <x v="2"/>
    <x v="0"/>
    <x v="3"/>
    <x v="9"/>
    <x v="2"/>
    <x v="2"/>
  </r>
  <r>
    <s v="TX500354"/>
    <x v="1"/>
    <x v="12"/>
    <n v="83.4"/>
    <n v="333.6"/>
    <x v="15"/>
    <x v="10"/>
    <x v="1"/>
    <x v="0"/>
    <x v="0"/>
    <x v="0"/>
    <x v="3"/>
    <x v="3"/>
    <x v="2"/>
    <x v="1"/>
  </r>
  <r>
    <s v="TX500355"/>
    <x v="9"/>
    <x v="2"/>
    <n v="45.3"/>
    <n v="135.89999999999998"/>
    <x v="15"/>
    <x v="24"/>
    <x v="1"/>
    <x v="2"/>
    <x v="1"/>
    <x v="0"/>
    <x v="3"/>
    <x v="4"/>
    <x v="2"/>
    <x v="1"/>
  </r>
  <r>
    <s v="TX500356"/>
    <x v="17"/>
    <x v="0"/>
    <n v="42"/>
    <n v="42"/>
    <x v="15"/>
    <x v="10"/>
    <x v="0"/>
    <x v="0"/>
    <x v="0"/>
    <x v="0"/>
    <x v="3"/>
    <x v="3"/>
    <x v="2"/>
    <x v="0"/>
  </r>
  <r>
    <s v="TX500357"/>
    <x v="0"/>
    <x v="11"/>
    <n v="21.8"/>
    <n v="196.20000000000002"/>
    <x v="15"/>
    <x v="13"/>
    <x v="2"/>
    <x v="1"/>
    <x v="0"/>
    <x v="0"/>
    <x v="3"/>
    <x v="1"/>
    <x v="2"/>
    <x v="2"/>
  </r>
  <r>
    <s v="TX500358"/>
    <x v="8"/>
    <x v="16"/>
    <n v="21.4"/>
    <n v="385.2"/>
    <x v="15"/>
    <x v="18"/>
    <x v="2"/>
    <x v="1"/>
    <x v="2"/>
    <x v="0"/>
    <x v="3"/>
    <x v="2"/>
    <x v="2"/>
    <x v="2"/>
  </r>
  <r>
    <s v="TX500359"/>
    <x v="10"/>
    <x v="2"/>
    <n v="45"/>
    <n v="135"/>
    <x v="15"/>
    <x v="15"/>
    <x v="2"/>
    <x v="1"/>
    <x v="2"/>
    <x v="0"/>
    <x v="3"/>
    <x v="7"/>
    <x v="2"/>
    <x v="2"/>
  </r>
  <r>
    <s v="TX500360"/>
    <x v="14"/>
    <x v="0"/>
    <n v="39.6"/>
    <n v="39.6"/>
    <x v="15"/>
    <x v="10"/>
    <x v="1"/>
    <x v="0"/>
    <x v="2"/>
    <x v="0"/>
    <x v="3"/>
    <x v="3"/>
    <x v="2"/>
    <x v="1"/>
  </r>
  <r>
    <s v="TX500361"/>
    <x v="12"/>
    <x v="2"/>
    <n v="79.8"/>
    <n v="239.39999999999998"/>
    <x v="15"/>
    <x v="24"/>
    <x v="2"/>
    <x v="1"/>
    <x v="4"/>
    <x v="0"/>
    <x v="3"/>
    <x v="4"/>
    <x v="2"/>
    <x v="2"/>
  </r>
  <r>
    <s v="TX500362"/>
    <x v="1"/>
    <x v="12"/>
    <n v="63.6"/>
    <n v="254.4"/>
    <x v="15"/>
    <x v="10"/>
    <x v="3"/>
    <x v="0"/>
    <x v="2"/>
    <x v="0"/>
    <x v="24"/>
    <x v="3"/>
    <x v="2"/>
    <x v="3"/>
  </r>
  <r>
    <s v="TX500363"/>
    <x v="7"/>
    <x v="7"/>
    <n v="92.7"/>
    <n v="927"/>
    <x v="15"/>
    <x v="21"/>
    <x v="1"/>
    <x v="1"/>
    <x v="2"/>
    <x v="0"/>
    <x v="6"/>
    <x v="5"/>
    <x v="2"/>
    <x v="1"/>
  </r>
  <r>
    <s v="TX500364"/>
    <x v="1"/>
    <x v="12"/>
    <n v="48.4"/>
    <n v="193.6"/>
    <x v="15"/>
    <x v="13"/>
    <x v="2"/>
    <x v="1"/>
    <x v="2"/>
    <x v="0"/>
    <x v="6"/>
    <x v="1"/>
    <x v="2"/>
    <x v="2"/>
  </r>
  <r>
    <s v="TX500365"/>
    <x v="9"/>
    <x v="8"/>
    <n v="36"/>
    <n v="288"/>
    <x v="15"/>
    <x v="18"/>
    <x v="1"/>
    <x v="2"/>
    <x v="2"/>
    <x v="0"/>
    <x v="8"/>
    <x v="2"/>
    <x v="2"/>
    <x v="1"/>
  </r>
  <r>
    <s v="TX500366"/>
    <x v="8"/>
    <x v="4"/>
    <n v="27"/>
    <n v="324"/>
    <x v="15"/>
    <x v="13"/>
    <x v="2"/>
    <x v="2"/>
    <x v="1"/>
    <x v="0"/>
    <x v="8"/>
    <x v="1"/>
    <x v="2"/>
    <x v="2"/>
  </r>
  <r>
    <s v="TX500367"/>
    <x v="2"/>
    <x v="8"/>
    <n v="53.9"/>
    <n v="431.2"/>
    <x v="15"/>
    <x v="10"/>
    <x v="0"/>
    <x v="0"/>
    <x v="0"/>
    <x v="0"/>
    <x v="8"/>
    <x v="3"/>
    <x v="2"/>
    <x v="0"/>
  </r>
  <r>
    <s v="TX500368"/>
    <x v="3"/>
    <x v="11"/>
    <n v="48.4"/>
    <n v="435.59999999999997"/>
    <x v="15"/>
    <x v="10"/>
    <x v="2"/>
    <x v="1"/>
    <x v="0"/>
    <x v="0"/>
    <x v="9"/>
    <x v="3"/>
    <x v="2"/>
    <x v="2"/>
  </r>
  <r>
    <s v="TX500369"/>
    <x v="17"/>
    <x v="1"/>
    <n v="49.9"/>
    <n v="99.8"/>
    <x v="15"/>
    <x v="20"/>
    <x v="1"/>
    <x v="4"/>
    <x v="4"/>
    <x v="0"/>
    <x v="10"/>
    <x v="0"/>
    <x v="2"/>
    <x v="1"/>
  </r>
  <r>
    <s v="TX500370"/>
    <x v="1"/>
    <x v="2"/>
    <n v="51.7"/>
    <n v="155.10000000000002"/>
    <x v="15"/>
    <x v="10"/>
    <x v="2"/>
    <x v="0"/>
    <x v="2"/>
    <x v="0"/>
    <x v="11"/>
    <x v="3"/>
    <x v="2"/>
    <x v="2"/>
  </r>
  <r>
    <s v="TX500371"/>
    <x v="8"/>
    <x v="2"/>
    <n v="41.8"/>
    <n v="125.39999999999999"/>
    <x v="15"/>
    <x v="13"/>
    <x v="2"/>
    <x v="2"/>
    <x v="0"/>
    <x v="0"/>
    <x v="18"/>
    <x v="1"/>
    <x v="2"/>
    <x v="2"/>
  </r>
  <r>
    <s v="TX500372"/>
    <x v="4"/>
    <x v="12"/>
    <n v="36.200000000000003"/>
    <n v="144.80000000000001"/>
    <x v="16"/>
    <x v="13"/>
    <x v="1"/>
    <x v="2"/>
    <x v="2"/>
    <x v="0"/>
    <x v="21"/>
    <x v="3"/>
    <x v="2"/>
    <x v="1"/>
  </r>
  <r>
    <s v="TX500373"/>
    <x v="2"/>
    <x v="0"/>
    <n v="150.9"/>
    <n v="150.9"/>
    <x v="16"/>
    <x v="22"/>
    <x v="1"/>
    <x v="0"/>
    <x v="0"/>
    <x v="0"/>
    <x v="1"/>
    <x v="14"/>
    <x v="2"/>
    <x v="1"/>
  </r>
  <r>
    <s v="TX500374"/>
    <x v="18"/>
    <x v="12"/>
    <n v="77.599999999999994"/>
    <n v="310.39999999999998"/>
    <x v="16"/>
    <x v="13"/>
    <x v="0"/>
    <x v="2"/>
    <x v="0"/>
    <x v="0"/>
    <x v="3"/>
    <x v="3"/>
    <x v="2"/>
    <x v="0"/>
  </r>
  <r>
    <s v="TX500375"/>
    <x v="13"/>
    <x v="9"/>
    <n v="65.5"/>
    <n v="327.5"/>
    <x v="16"/>
    <x v="10"/>
    <x v="1"/>
    <x v="1"/>
    <x v="0"/>
    <x v="0"/>
    <x v="3"/>
    <x v="7"/>
    <x v="2"/>
    <x v="1"/>
  </r>
  <r>
    <s v="TX500376"/>
    <x v="6"/>
    <x v="2"/>
    <n v="90.1"/>
    <n v="270.29999999999995"/>
    <x v="16"/>
    <x v="18"/>
    <x v="2"/>
    <x v="0"/>
    <x v="0"/>
    <x v="0"/>
    <x v="3"/>
    <x v="1"/>
    <x v="2"/>
    <x v="2"/>
  </r>
  <r>
    <s v="TX500377"/>
    <x v="1"/>
    <x v="1"/>
    <n v="108.3"/>
    <n v="216.6"/>
    <x v="16"/>
    <x v="21"/>
    <x v="3"/>
    <x v="4"/>
    <x v="0"/>
    <x v="0"/>
    <x v="3"/>
    <x v="2"/>
    <x v="2"/>
    <x v="3"/>
  </r>
  <r>
    <s v="TX500378"/>
    <x v="5"/>
    <x v="2"/>
    <n v="59.9"/>
    <n v="179.7"/>
    <x v="16"/>
    <x v="20"/>
    <x v="2"/>
    <x v="0"/>
    <x v="0"/>
    <x v="0"/>
    <x v="3"/>
    <x v="5"/>
    <x v="2"/>
    <x v="2"/>
  </r>
  <r>
    <s v="TX500379"/>
    <x v="2"/>
    <x v="14"/>
    <n v="139"/>
    <n v="2363"/>
    <x v="16"/>
    <x v="18"/>
    <x v="2"/>
    <x v="1"/>
    <x v="4"/>
    <x v="0"/>
    <x v="3"/>
    <x v="1"/>
    <x v="2"/>
    <x v="2"/>
  </r>
  <r>
    <s v="TX500380"/>
    <x v="6"/>
    <x v="2"/>
    <n v="87.3"/>
    <n v="261.89999999999998"/>
    <x v="16"/>
    <x v="13"/>
    <x v="2"/>
    <x v="0"/>
    <x v="0"/>
    <x v="0"/>
    <x v="3"/>
    <x v="3"/>
    <x v="2"/>
    <x v="2"/>
  </r>
  <r>
    <s v="TX500381"/>
    <x v="11"/>
    <x v="12"/>
    <n v="42.3"/>
    <n v="169.2"/>
    <x v="16"/>
    <x v="10"/>
    <x v="1"/>
    <x v="0"/>
    <x v="0"/>
    <x v="0"/>
    <x v="3"/>
    <x v="7"/>
    <x v="2"/>
    <x v="1"/>
  </r>
  <r>
    <s v="TX500382"/>
    <x v="14"/>
    <x v="8"/>
    <n v="103.6"/>
    <n v="828.8"/>
    <x v="16"/>
    <x v="13"/>
    <x v="3"/>
    <x v="0"/>
    <x v="1"/>
    <x v="0"/>
    <x v="3"/>
    <x v="3"/>
    <x v="2"/>
    <x v="3"/>
  </r>
  <r>
    <s v="TX500383"/>
    <x v="6"/>
    <x v="1"/>
    <n v="90.9"/>
    <n v="181.8"/>
    <x v="16"/>
    <x v="13"/>
    <x v="1"/>
    <x v="1"/>
    <x v="0"/>
    <x v="0"/>
    <x v="6"/>
    <x v="3"/>
    <x v="2"/>
    <x v="1"/>
  </r>
  <r>
    <s v="TX500384"/>
    <x v="9"/>
    <x v="27"/>
    <n v="100.9"/>
    <n v="1614.4"/>
    <x v="16"/>
    <x v="13"/>
    <x v="2"/>
    <x v="1"/>
    <x v="0"/>
    <x v="0"/>
    <x v="6"/>
    <x v="3"/>
    <x v="2"/>
    <x v="2"/>
  </r>
  <r>
    <s v="TX500385"/>
    <x v="4"/>
    <x v="9"/>
    <n v="36"/>
    <n v="180"/>
    <x v="16"/>
    <x v="18"/>
    <x v="2"/>
    <x v="1"/>
    <x v="0"/>
    <x v="0"/>
    <x v="7"/>
    <x v="1"/>
    <x v="2"/>
    <x v="2"/>
  </r>
  <r>
    <s v="TX500386"/>
    <x v="6"/>
    <x v="13"/>
    <n v="83.3"/>
    <n v="499.79999999999995"/>
    <x v="16"/>
    <x v="21"/>
    <x v="0"/>
    <x v="2"/>
    <x v="0"/>
    <x v="0"/>
    <x v="7"/>
    <x v="2"/>
    <x v="2"/>
    <x v="0"/>
  </r>
  <r>
    <s v="TX500387"/>
    <x v="2"/>
    <x v="14"/>
    <n v="60.3"/>
    <n v="1025.0999999999999"/>
    <x v="16"/>
    <x v="13"/>
    <x v="1"/>
    <x v="2"/>
    <x v="1"/>
    <x v="0"/>
    <x v="7"/>
    <x v="3"/>
    <x v="2"/>
    <x v="1"/>
  </r>
  <r>
    <s v="TX500388"/>
    <x v="2"/>
    <x v="13"/>
    <n v="120.3"/>
    <n v="721.8"/>
    <x v="16"/>
    <x v="13"/>
    <x v="1"/>
    <x v="2"/>
    <x v="0"/>
    <x v="0"/>
    <x v="8"/>
    <x v="3"/>
    <x v="2"/>
    <x v="1"/>
  </r>
  <r>
    <s v="TX500389"/>
    <x v="4"/>
    <x v="7"/>
    <n v="34"/>
    <n v="340"/>
    <x v="16"/>
    <x v="20"/>
    <x v="2"/>
    <x v="2"/>
    <x v="0"/>
    <x v="0"/>
    <x v="8"/>
    <x v="5"/>
    <x v="2"/>
    <x v="2"/>
  </r>
  <r>
    <s v="TX500390"/>
    <x v="10"/>
    <x v="9"/>
    <n v="42.6"/>
    <n v="213"/>
    <x v="16"/>
    <x v="21"/>
    <x v="1"/>
    <x v="1"/>
    <x v="0"/>
    <x v="0"/>
    <x v="8"/>
    <x v="2"/>
    <x v="2"/>
    <x v="1"/>
  </r>
  <r>
    <s v="TX500391"/>
    <x v="5"/>
    <x v="28"/>
    <n v="47.4"/>
    <n v="948"/>
    <x v="16"/>
    <x v="10"/>
    <x v="2"/>
    <x v="2"/>
    <x v="1"/>
    <x v="0"/>
    <x v="17"/>
    <x v="7"/>
    <x v="2"/>
    <x v="2"/>
  </r>
  <r>
    <s v="TX500392"/>
    <x v="2"/>
    <x v="0"/>
    <n v="74"/>
    <n v="74"/>
    <x v="17"/>
    <x v="18"/>
    <x v="1"/>
    <x v="1"/>
    <x v="0"/>
    <x v="0"/>
    <x v="11"/>
    <x v="3"/>
    <x v="2"/>
    <x v="1"/>
  </r>
  <r>
    <s v="TX500393"/>
    <x v="2"/>
    <x v="9"/>
    <n v="60.4"/>
    <n v="302"/>
    <x v="17"/>
    <x v="20"/>
    <x v="2"/>
    <x v="1"/>
    <x v="4"/>
    <x v="0"/>
    <x v="18"/>
    <x v="2"/>
    <x v="2"/>
    <x v="2"/>
  </r>
  <r>
    <s v="TX500394"/>
    <x v="12"/>
    <x v="1"/>
    <n v="69.3"/>
    <n v="138.6"/>
    <x v="17"/>
    <x v="20"/>
    <x v="1"/>
    <x v="1"/>
    <x v="1"/>
    <x v="0"/>
    <x v="13"/>
    <x v="2"/>
    <x v="2"/>
    <x v="1"/>
  </r>
  <r>
    <s v="TX500395"/>
    <x v="5"/>
    <x v="9"/>
    <n v="81"/>
    <n v="405"/>
    <x v="17"/>
    <x v="25"/>
    <x v="1"/>
    <x v="3"/>
    <x v="0"/>
    <x v="0"/>
    <x v="21"/>
    <x v="4"/>
    <x v="2"/>
    <x v="1"/>
  </r>
  <r>
    <s v="TX500396"/>
    <x v="15"/>
    <x v="2"/>
    <n v="41.5"/>
    <n v="124.5"/>
    <x v="17"/>
    <x v="21"/>
    <x v="3"/>
    <x v="1"/>
    <x v="0"/>
    <x v="0"/>
    <x v="21"/>
    <x v="1"/>
    <x v="2"/>
    <x v="3"/>
  </r>
  <r>
    <s v="TX500397"/>
    <x v="18"/>
    <x v="1"/>
    <n v="69.7"/>
    <n v="139.4"/>
    <x v="17"/>
    <x v="23"/>
    <x v="1"/>
    <x v="1"/>
    <x v="0"/>
    <x v="0"/>
    <x v="21"/>
    <x v="0"/>
    <x v="2"/>
    <x v="1"/>
  </r>
  <r>
    <s v="TX500398"/>
    <x v="2"/>
    <x v="9"/>
    <n v="83.6"/>
    <n v="418"/>
    <x v="17"/>
    <x v="13"/>
    <x v="2"/>
    <x v="4"/>
    <x v="0"/>
    <x v="0"/>
    <x v="1"/>
    <x v="7"/>
    <x v="2"/>
    <x v="2"/>
  </r>
  <r>
    <s v="TX500399"/>
    <x v="8"/>
    <x v="3"/>
    <n v="21.5"/>
    <n v="150.5"/>
    <x v="17"/>
    <x v="21"/>
    <x v="1"/>
    <x v="1"/>
    <x v="4"/>
    <x v="0"/>
    <x v="34"/>
    <x v="1"/>
    <x v="2"/>
    <x v="1"/>
  </r>
  <r>
    <s v="TX500400"/>
    <x v="8"/>
    <x v="8"/>
    <n v="28.6"/>
    <n v="228.8"/>
    <x v="17"/>
    <x v="18"/>
    <x v="1"/>
    <x v="0"/>
    <x v="0"/>
    <x v="0"/>
    <x v="3"/>
    <x v="3"/>
    <x v="2"/>
    <x v="1"/>
  </r>
  <r>
    <s v="TX500401"/>
    <x v="8"/>
    <x v="13"/>
    <n v="18.8"/>
    <n v="112.80000000000001"/>
    <x v="17"/>
    <x v="20"/>
    <x v="1"/>
    <x v="3"/>
    <x v="2"/>
    <x v="0"/>
    <x v="3"/>
    <x v="2"/>
    <x v="2"/>
    <x v="1"/>
  </r>
  <r>
    <s v="TX500402"/>
    <x v="10"/>
    <x v="12"/>
    <n v="35.1"/>
    <n v="140.4"/>
    <x v="17"/>
    <x v="13"/>
    <x v="2"/>
    <x v="1"/>
    <x v="1"/>
    <x v="0"/>
    <x v="3"/>
    <x v="7"/>
    <x v="2"/>
    <x v="2"/>
  </r>
  <r>
    <s v="TX500403"/>
    <x v="0"/>
    <x v="1"/>
    <n v="12.7"/>
    <n v="25.4"/>
    <x v="17"/>
    <x v="21"/>
    <x v="2"/>
    <x v="1"/>
    <x v="2"/>
    <x v="0"/>
    <x v="3"/>
    <x v="1"/>
    <x v="2"/>
    <x v="2"/>
  </r>
  <r>
    <s v="TX500404"/>
    <x v="8"/>
    <x v="9"/>
    <n v="27.4"/>
    <n v="137"/>
    <x v="17"/>
    <x v="21"/>
    <x v="3"/>
    <x v="0"/>
    <x v="0"/>
    <x v="0"/>
    <x v="3"/>
    <x v="1"/>
    <x v="2"/>
    <x v="3"/>
  </r>
  <r>
    <s v="TX500405"/>
    <x v="10"/>
    <x v="1"/>
    <n v="61.3"/>
    <n v="122.6"/>
    <x v="17"/>
    <x v="18"/>
    <x v="2"/>
    <x v="1"/>
    <x v="0"/>
    <x v="0"/>
    <x v="6"/>
    <x v="3"/>
    <x v="2"/>
    <x v="2"/>
  </r>
  <r>
    <s v="TX500406"/>
    <x v="8"/>
    <x v="1"/>
    <n v="64.7"/>
    <n v="129.4"/>
    <x v="17"/>
    <x v="21"/>
    <x v="2"/>
    <x v="3"/>
    <x v="2"/>
    <x v="0"/>
    <x v="6"/>
    <x v="1"/>
    <x v="2"/>
    <x v="2"/>
  </r>
  <r>
    <s v="TX500407"/>
    <x v="7"/>
    <x v="12"/>
    <n v="91.4"/>
    <n v="365.6"/>
    <x v="17"/>
    <x v="21"/>
    <x v="2"/>
    <x v="0"/>
    <x v="0"/>
    <x v="0"/>
    <x v="8"/>
    <x v="1"/>
    <x v="2"/>
    <x v="2"/>
  </r>
  <r>
    <s v="TX500408"/>
    <x v="0"/>
    <x v="1"/>
    <n v="33.1"/>
    <n v="66.2"/>
    <x v="18"/>
    <x v="21"/>
    <x v="1"/>
    <x v="0"/>
    <x v="2"/>
    <x v="0"/>
    <x v="8"/>
    <x v="3"/>
    <x v="3"/>
    <x v="1"/>
  </r>
  <r>
    <s v="TX500409"/>
    <x v="3"/>
    <x v="1"/>
    <n v="105.6"/>
    <n v="211.2"/>
    <x v="18"/>
    <x v="21"/>
    <x v="1"/>
    <x v="2"/>
    <x v="1"/>
    <x v="0"/>
    <x v="8"/>
    <x v="3"/>
    <x v="3"/>
    <x v="1"/>
  </r>
  <r>
    <s v="TX500410"/>
    <x v="10"/>
    <x v="2"/>
    <n v="46.4"/>
    <n v="139.19999999999999"/>
    <x v="18"/>
    <x v="21"/>
    <x v="1"/>
    <x v="2"/>
    <x v="0"/>
    <x v="0"/>
    <x v="9"/>
    <x v="3"/>
    <x v="3"/>
    <x v="1"/>
  </r>
  <r>
    <s v="TX500411"/>
    <x v="9"/>
    <x v="21"/>
    <n v="35.299999999999997"/>
    <n v="494.19999999999993"/>
    <x v="18"/>
    <x v="24"/>
    <x v="2"/>
    <x v="4"/>
    <x v="1"/>
    <x v="0"/>
    <x v="11"/>
    <x v="2"/>
    <x v="3"/>
    <x v="2"/>
  </r>
  <r>
    <s v="TX500412"/>
    <x v="0"/>
    <x v="1"/>
    <n v="16.100000000000001"/>
    <n v="32.200000000000003"/>
    <x v="18"/>
    <x v="20"/>
    <x v="1"/>
    <x v="3"/>
    <x v="2"/>
    <x v="0"/>
    <x v="32"/>
    <x v="1"/>
    <x v="3"/>
    <x v="1"/>
  </r>
  <r>
    <s v="TX500413"/>
    <x v="4"/>
    <x v="1"/>
    <n v="27.9"/>
    <n v="55.8"/>
    <x v="18"/>
    <x v="24"/>
    <x v="1"/>
    <x v="0"/>
    <x v="0"/>
    <x v="0"/>
    <x v="13"/>
    <x v="2"/>
    <x v="3"/>
    <x v="1"/>
  </r>
  <r>
    <s v="TX500414"/>
    <x v="8"/>
    <x v="0"/>
    <n v="47.1"/>
    <n v="47.1"/>
    <x v="18"/>
    <x v="22"/>
    <x v="2"/>
    <x v="1"/>
    <x v="0"/>
    <x v="0"/>
    <x v="2"/>
    <x v="9"/>
    <x v="3"/>
    <x v="2"/>
  </r>
  <r>
    <s v="TX500415"/>
    <x v="6"/>
    <x v="1"/>
    <n v="85"/>
    <n v="170"/>
    <x v="18"/>
    <x v="24"/>
    <x v="0"/>
    <x v="2"/>
    <x v="2"/>
    <x v="0"/>
    <x v="22"/>
    <x v="2"/>
    <x v="3"/>
    <x v="0"/>
  </r>
  <r>
    <s v="TX500416"/>
    <x v="18"/>
    <x v="1"/>
    <n v="89"/>
    <n v="178"/>
    <x v="18"/>
    <x v="20"/>
    <x v="2"/>
    <x v="0"/>
    <x v="0"/>
    <x v="0"/>
    <x v="3"/>
    <x v="1"/>
    <x v="3"/>
    <x v="2"/>
  </r>
  <r>
    <s v="TX500417"/>
    <x v="16"/>
    <x v="2"/>
    <n v="36.6"/>
    <n v="109.80000000000001"/>
    <x v="18"/>
    <x v="21"/>
    <x v="3"/>
    <x v="3"/>
    <x v="2"/>
    <x v="0"/>
    <x v="3"/>
    <x v="3"/>
    <x v="3"/>
    <x v="3"/>
  </r>
  <r>
    <s v="TX500418"/>
    <x v="6"/>
    <x v="3"/>
    <n v="43.5"/>
    <n v="304.5"/>
    <x v="18"/>
    <x v="21"/>
    <x v="1"/>
    <x v="1"/>
    <x v="2"/>
    <x v="0"/>
    <x v="3"/>
    <x v="3"/>
    <x v="3"/>
    <x v="1"/>
  </r>
  <r>
    <s v="TX500419"/>
    <x v="9"/>
    <x v="10"/>
    <n v="30.5"/>
    <n v="579.5"/>
    <x v="18"/>
    <x v="18"/>
    <x v="2"/>
    <x v="3"/>
    <x v="0"/>
    <x v="0"/>
    <x v="3"/>
    <x v="7"/>
    <x v="3"/>
    <x v="2"/>
  </r>
  <r>
    <s v="TX500420"/>
    <x v="1"/>
    <x v="1"/>
    <n v="107.7"/>
    <n v="215.4"/>
    <x v="18"/>
    <x v="23"/>
    <x v="1"/>
    <x v="3"/>
    <x v="4"/>
    <x v="0"/>
    <x v="3"/>
    <x v="5"/>
    <x v="3"/>
    <x v="1"/>
  </r>
  <r>
    <s v="TX500421"/>
    <x v="17"/>
    <x v="18"/>
    <n v="57.1"/>
    <n v="1484.6000000000001"/>
    <x v="18"/>
    <x v="21"/>
    <x v="1"/>
    <x v="1"/>
    <x v="0"/>
    <x v="0"/>
    <x v="3"/>
    <x v="3"/>
    <x v="3"/>
    <x v="1"/>
  </r>
  <r>
    <s v="TX500422"/>
    <x v="2"/>
    <x v="7"/>
    <n v="111.7"/>
    <n v="1117"/>
    <x v="18"/>
    <x v="21"/>
    <x v="2"/>
    <x v="4"/>
    <x v="2"/>
    <x v="0"/>
    <x v="3"/>
    <x v="3"/>
    <x v="3"/>
    <x v="2"/>
  </r>
  <r>
    <s v="TX500423"/>
    <x v="18"/>
    <x v="3"/>
    <n v="44.3"/>
    <n v="310.09999999999997"/>
    <x v="18"/>
    <x v="24"/>
    <x v="1"/>
    <x v="3"/>
    <x v="2"/>
    <x v="0"/>
    <x v="3"/>
    <x v="2"/>
    <x v="3"/>
    <x v="1"/>
  </r>
  <r>
    <s v="TX500424"/>
    <x v="2"/>
    <x v="8"/>
    <n v="95.8"/>
    <n v="766.4"/>
    <x v="18"/>
    <x v="17"/>
    <x v="3"/>
    <x v="0"/>
    <x v="0"/>
    <x v="0"/>
    <x v="3"/>
    <x v="4"/>
    <x v="3"/>
    <x v="3"/>
  </r>
  <r>
    <s v="TX500425"/>
    <x v="10"/>
    <x v="3"/>
    <n v="22.6"/>
    <n v="158.20000000000002"/>
    <x v="18"/>
    <x v="24"/>
    <x v="2"/>
    <x v="3"/>
    <x v="1"/>
    <x v="0"/>
    <x v="3"/>
    <x v="2"/>
    <x v="3"/>
    <x v="2"/>
  </r>
  <r>
    <s v="TX500426"/>
    <x v="8"/>
    <x v="8"/>
    <n v="25.6"/>
    <n v="204.8"/>
    <x v="18"/>
    <x v="20"/>
    <x v="2"/>
    <x v="4"/>
    <x v="0"/>
    <x v="0"/>
    <x v="3"/>
    <x v="1"/>
    <x v="3"/>
    <x v="2"/>
  </r>
  <r>
    <s v="TX500427"/>
    <x v="6"/>
    <x v="27"/>
    <n v="54.3"/>
    <n v="868.8"/>
    <x v="18"/>
    <x v="24"/>
    <x v="2"/>
    <x v="4"/>
    <x v="0"/>
    <x v="0"/>
    <x v="3"/>
    <x v="2"/>
    <x v="3"/>
    <x v="2"/>
  </r>
  <r>
    <s v="TX500428"/>
    <x v="18"/>
    <x v="15"/>
    <n v="51.3"/>
    <n v="666.9"/>
    <x v="18"/>
    <x v="20"/>
    <x v="1"/>
    <x v="0"/>
    <x v="2"/>
    <x v="0"/>
    <x v="3"/>
    <x v="1"/>
    <x v="3"/>
    <x v="1"/>
  </r>
  <r>
    <s v="TX500429"/>
    <x v="0"/>
    <x v="8"/>
    <n v="25.6"/>
    <n v="204.8"/>
    <x v="18"/>
    <x v="21"/>
    <x v="2"/>
    <x v="1"/>
    <x v="1"/>
    <x v="0"/>
    <x v="3"/>
    <x v="3"/>
    <x v="3"/>
    <x v="2"/>
  </r>
  <r>
    <s v="TX500430"/>
    <x v="0"/>
    <x v="1"/>
    <n v="15.6"/>
    <n v="31.2"/>
    <x v="18"/>
    <x v="21"/>
    <x v="2"/>
    <x v="2"/>
    <x v="2"/>
    <x v="0"/>
    <x v="3"/>
    <x v="3"/>
    <x v="3"/>
    <x v="2"/>
  </r>
  <r>
    <s v="TX500431"/>
    <x v="8"/>
    <x v="2"/>
    <n v="30.3"/>
    <n v="90.9"/>
    <x v="18"/>
    <x v="23"/>
    <x v="2"/>
    <x v="0"/>
    <x v="1"/>
    <x v="0"/>
    <x v="3"/>
    <x v="5"/>
    <x v="3"/>
    <x v="2"/>
  </r>
  <r>
    <s v="TX500432"/>
    <x v="12"/>
    <x v="1"/>
    <n v="30.3"/>
    <n v="60.6"/>
    <x v="18"/>
    <x v="25"/>
    <x v="2"/>
    <x v="0"/>
    <x v="2"/>
    <x v="0"/>
    <x v="37"/>
    <x v="0"/>
    <x v="3"/>
    <x v="2"/>
  </r>
  <r>
    <s v="TX500433"/>
    <x v="10"/>
    <x v="2"/>
    <n v="53"/>
    <n v="159"/>
    <x v="18"/>
    <x v="19"/>
    <x v="2"/>
    <x v="2"/>
    <x v="0"/>
    <x v="0"/>
    <x v="24"/>
    <x v="6"/>
    <x v="3"/>
    <x v="2"/>
  </r>
  <r>
    <s v="TX500434"/>
    <x v="5"/>
    <x v="16"/>
    <n v="59.9"/>
    <n v="1078.2"/>
    <x v="18"/>
    <x v="24"/>
    <x v="1"/>
    <x v="2"/>
    <x v="4"/>
    <x v="0"/>
    <x v="25"/>
    <x v="2"/>
    <x v="3"/>
    <x v="1"/>
  </r>
  <r>
    <s v="TX500435"/>
    <x v="9"/>
    <x v="1"/>
    <n v="45.7"/>
    <n v="91.4"/>
    <x v="18"/>
    <x v="21"/>
    <x v="2"/>
    <x v="1"/>
    <x v="2"/>
    <x v="0"/>
    <x v="6"/>
    <x v="3"/>
    <x v="3"/>
    <x v="2"/>
  </r>
  <r>
    <s v="TX500436"/>
    <x v="8"/>
    <x v="12"/>
    <n v="46.1"/>
    <n v="184.4"/>
    <x v="18"/>
    <x v="21"/>
    <x v="1"/>
    <x v="0"/>
    <x v="0"/>
    <x v="0"/>
    <x v="6"/>
    <x v="3"/>
    <x v="3"/>
    <x v="1"/>
  </r>
  <r>
    <s v="TX500437"/>
    <x v="8"/>
    <x v="2"/>
    <n v="17.5"/>
    <n v="52.5"/>
    <x v="18"/>
    <x v="21"/>
    <x v="2"/>
    <x v="0"/>
    <x v="2"/>
    <x v="0"/>
    <x v="8"/>
    <x v="3"/>
    <x v="3"/>
    <x v="2"/>
  </r>
  <r>
    <s v="TX500438"/>
    <x v="10"/>
    <x v="2"/>
    <n v="36.5"/>
    <n v="109.5"/>
    <x v="18"/>
    <x v="26"/>
    <x v="1"/>
    <x v="2"/>
    <x v="0"/>
    <x v="0"/>
    <x v="8"/>
    <x v="11"/>
    <x v="3"/>
    <x v="1"/>
  </r>
  <r>
    <s v="TX500439"/>
    <x v="8"/>
    <x v="1"/>
    <n v="47.5"/>
    <n v="95"/>
    <x v="19"/>
    <x v="24"/>
    <x v="2"/>
    <x v="1"/>
    <x v="0"/>
    <x v="0"/>
    <x v="8"/>
    <x v="1"/>
    <x v="3"/>
    <x v="2"/>
  </r>
  <r>
    <s v="TX500440"/>
    <x v="6"/>
    <x v="9"/>
    <n v="45.6"/>
    <n v="228"/>
    <x v="19"/>
    <x v="24"/>
    <x v="2"/>
    <x v="0"/>
    <x v="2"/>
    <x v="0"/>
    <x v="8"/>
    <x v="1"/>
    <x v="3"/>
    <x v="2"/>
  </r>
  <r>
    <s v="TX500441"/>
    <x v="9"/>
    <x v="1"/>
    <n v="50.5"/>
    <n v="101"/>
    <x v="19"/>
    <x v="24"/>
    <x v="1"/>
    <x v="0"/>
    <x v="1"/>
    <x v="0"/>
    <x v="17"/>
    <x v="1"/>
    <x v="3"/>
    <x v="1"/>
  </r>
  <r>
    <s v="TX500442"/>
    <x v="2"/>
    <x v="7"/>
    <n v="99.8"/>
    <n v="998"/>
    <x v="19"/>
    <x v="23"/>
    <x v="2"/>
    <x v="2"/>
    <x v="1"/>
    <x v="0"/>
    <x v="17"/>
    <x v="2"/>
    <x v="3"/>
    <x v="2"/>
  </r>
  <r>
    <s v="TX500443"/>
    <x v="8"/>
    <x v="20"/>
    <n v="19.2"/>
    <n v="288"/>
    <x v="19"/>
    <x v="24"/>
    <x v="3"/>
    <x v="4"/>
    <x v="1"/>
    <x v="0"/>
    <x v="26"/>
    <x v="1"/>
    <x v="3"/>
    <x v="3"/>
  </r>
  <r>
    <s v="TX500444"/>
    <x v="17"/>
    <x v="2"/>
    <n v="22.6"/>
    <n v="67.800000000000011"/>
    <x v="19"/>
    <x v="20"/>
    <x v="1"/>
    <x v="1"/>
    <x v="0"/>
    <x v="0"/>
    <x v="11"/>
    <x v="3"/>
    <x v="3"/>
    <x v="1"/>
  </r>
  <r>
    <s v="TX500445"/>
    <x v="1"/>
    <x v="20"/>
    <n v="126.9"/>
    <n v="1903.5"/>
    <x v="19"/>
    <x v="24"/>
    <x v="2"/>
    <x v="0"/>
    <x v="2"/>
    <x v="0"/>
    <x v="11"/>
    <x v="1"/>
    <x v="3"/>
    <x v="2"/>
  </r>
  <r>
    <s v="TX500446"/>
    <x v="2"/>
    <x v="1"/>
    <n v="100.3"/>
    <n v="200.6"/>
    <x v="19"/>
    <x v="20"/>
    <x v="2"/>
    <x v="0"/>
    <x v="1"/>
    <x v="0"/>
    <x v="11"/>
    <x v="3"/>
    <x v="3"/>
    <x v="2"/>
  </r>
  <r>
    <s v="TX500447"/>
    <x v="4"/>
    <x v="16"/>
    <n v="24.6"/>
    <n v="442.8"/>
    <x v="19"/>
    <x v="20"/>
    <x v="2"/>
    <x v="4"/>
    <x v="0"/>
    <x v="0"/>
    <x v="13"/>
    <x v="3"/>
    <x v="3"/>
    <x v="2"/>
  </r>
  <r>
    <s v="TX500448"/>
    <x v="6"/>
    <x v="1"/>
    <n v="47.3"/>
    <n v="94.6"/>
    <x v="19"/>
    <x v="20"/>
    <x v="1"/>
    <x v="1"/>
    <x v="2"/>
    <x v="0"/>
    <x v="13"/>
    <x v="3"/>
    <x v="3"/>
    <x v="1"/>
  </r>
  <r>
    <s v="TX500449"/>
    <x v="6"/>
    <x v="3"/>
    <n v="40.799999999999997"/>
    <n v="285.59999999999997"/>
    <x v="19"/>
    <x v="23"/>
    <x v="2"/>
    <x v="2"/>
    <x v="2"/>
    <x v="0"/>
    <x v="21"/>
    <x v="2"/>
    <x v="3"/>
    <x v="2"/>
  </r>
  <r>
    <s v="TX500450"/>
    <x v="8"/>
    <x v="8"/>
    <n v="49.2"/>
    <n v="393.6"/>
    <x v="19"/>
    <x v="24"/>
    <x v="2"/>
    <x v="0"/>
    <x v="0"/>
    <x v="0"/>
    <x v="1"/>
    <x v="1"/>
    <x v="3"/>
    <x v="2"/>
  </r>
  <r>
    <s v="TX500451"/>
    <x v="8"/>
    <x v="0"/>
    <n v="28.5"/>
    <n v="28.5"/>
    <x v="19"/>
    <x v="24"/>
    <x v="0"/>
    <x v="2"/>
    <x v="1"/>
    <x v="0"/>
    <x v="3"/>
    <x v="1"/>
    <x v="3"/>
    <x v="0"/>
  </r>
  <r>
    <s v="TX500452"/>
    <x v="18"/>
    <x v="1"/>
    <n v="36.799999999999997"/>
    <n v="73.599999999999994"/>
    <x v="19"/>
    <x v="19"/>
    <x v="2"/>
    <x v="0"/>
    <x v="2"/>
    <x v="0"/>
    <x v="3"/>
    <x v="4"/>
    <x v="3"/>
    <x v="2"/>
  </r>
  <r>
    <s v="TX500453"/>
    <x v="7"/>
    <x v="2"/>
    <n v="33.5"/>
    <n v="100.5"/>
    <x v="19"/>
    <x v="20"/>
    <x v="2"/>
    <x v="0"/>
    <x v="1"/>
    <x v="0"/>
    <x v="3"/>
    <x v="3"/>
    <x v="3"/>
    <x v="2"/>
  </r>
  <r>
    <s v="TX500454"/>
    <x v="6"/>
    <x v="13"/>
    <n v="62.5"/>
    <n v="375"/>
    <x v="19"/>
    <x v="24"/>
    <x v="2"/>
    <x v="0"/>
    <x v="0"/>
    <x v="0"/>
    <x v="3"/>
    <x v="1"/>
    <x v="3"/>
    <x v="2"/>
  </r>
  <r>
    <s v="TX500455"/>
    <x v="8"/>
    <x v="29"/>
    <n v="47.9"/>
    <n v="1916"/>
    <x v="19"/>
    <x v="20"/>
    <x v="2"/>
    <x v="3"/>
    <x v="0"/>
    <x v="0"/>
    <x v="3"/>
    <x v="3"/>
    <x v="3"/>
    <x v="2"/>
  </r>
  <r>
    <s v="TX500456"/>
    <x v="6"/>
    <x v="13"/>
    <n v="92.9"/>
    <n v="557.40000000000009"/>
    <x v="19"/>
    <x v="27"/>
    <x v="2"/>
    <x v="0"/>
    <x v="4"/>
    <x v="0"/>
    <x v="3"/>
    <x v="11"/>
    <x v="3"/>
    <x v="2"/>
  </r>
  <r>
    <s v="TX500457"/>
    <x v="12"/>
    <x v="2"/>
    <n v="44.1"/>
    <n v="132.30000000000001"/>
    <x v="19"/>
    <x v="21"/>
    <x v="2"/>
    <x v="1"/>
    <x v="1"/>
    <x v="0"/>
    <x v="43"/>
    <x v="7"/>
    <x v="3"/>
    <x v="2"/>
  </r>
  <r>
    <s v="TX500458"/>
    <x v="0"/>
    <x v="0"/>
    <n v="11.4"/>
    <n v="11.4"/>
    <x v="20"/>
    <x v="23"/>
    <x v="2"/>
    <x v="2"/>
    <x v="0"/>
    <x v="0"/>
    <x v="5"/>
    <x v="1"/>
    <x v="3"/>
    <x v="2"/>
  </r>
  <r>
    <s v="TX500459"/>
    <x v="6"/>
    <x v="0"/>
    <n v="83.7"/>
    <n v="83.7"/>
    <x v="20"/>
    <x v="23"/>
    <x v="2"/>
    <x v="0"/>
    <x v="2"/>
    <x v="0"/>
    <x v="6"/>
    <x v="1"/>
    <x v="3"/>
    <x v="2"/>
  </r>
  <r>
    <s v="TX500460"/>
    <x v="10"/>
    <x v="1"/>
    <n v="23.2"/>
    <n v="46.4"/>
    <x v="20"/>
    <x v="24"/>
    <x v="1"/>
    <x v="2"/>
    <x v="0"/>
    <x v="0"/>
    <x v="8"/>
    <x v="3"/>
    <x v="3"/>
    <x v="1"/>
  </r>
  <r>
    <s v="TX500461"/>
    <x v="2"/>
    <x v="0"/>
    <n v="162.1"/>
    <n v="162.1"/>
    <x v="20"/>
    <x v="25"/>
    <x v="2"/>
    <x v="0"/>
    <x v="2"/>
    <x v="0"/>
    <x v="9"/>
    <x v="2"/>
    <x v="3"/>
    <x v="2"/>
  </r>
  <r>
    <s v="TX500462"/>
    <x v="6"/>
    <x v="12"/>
    <n v="49.2"/>
    <n v="196.8"/>
    <x v="20"/>
    <x v="17"/>
    <x v="1"/>
    <x v="1"/>
    <x v="0"/>
    <x v="0"/>
    <x v="9"/>
    <x v="5"/>
    <x v="3"/>
    <x v="1"/>
  </r>
  <r>
    <s v="TX500463"/>
    <x v="1"/>
    <x v="1"/>
    <n v="61"/>
    <n v="122"/>
    <x v="20"/>
    <x v="24"/>
    <x v="1"/>
    <x v="3"/>
    <x v="0"/>
    <x v="0"/>
    <x v="10"/>
    <x v="3"/>
    <x v="3"/>
    <x v="1"/>
  </r>
  <r>
    <s v="TX500464"/>
    <x v="2"/>
    <x v="7"/>
    <n v="53.1"/>
    <n v="531"/>
    <x v="20"/>
    <x v="23"/>
    <x v="1"/>
    <x v="0"/>
    <x v="0"/>
    <x v="0"/>
    <x v="11"/>
    <x v="1"/>
    <x v="3"/>
    <x v="1"/>
  </r>
  <r>
    <s v="TX500465"/>
    <x v="4"/>
    <x v="1"/>
    <n v="22.4"/>
    <n v="44.8"/>
    <x v="20"/>
    <x v="23"/>
    <x v="0"/>
    <x v="1"/>
    <x v="2"/>
    <x v="0"/>
    <x v="13"/>
    <x v="1"/>
    <x v="3"/>
    <x v="0"/>
  </r>
  <r>
    <s v="TX500466"/>
    <x v="1"/>
    <x v="9"/>
    <n v="75.3"/>
    <n v="376.5"/>
    <x v="20"/>
    <x v="24"/>
    <x v="1"/>
    <x v="0"/>
    <x v="0"/>
    <x v="0"/>
    <x v="21"/>
    <x v="3"/>
    <x v="3"/>
    <x v="1"/>
  </r>
  <r>
    <s v="TX500467"/>
    <x v="6"/>
    <x v="0"/>
    <n v="48.5"/>
    <n v="48.5"/>
    <x v="20"/>
    <x v="24"/>
    <x v="2"/>
    <x v="0"/>
    <x v="1"/>
    <x v="0"/>
    <x v="21"/>
    <x v="3"/>
    <x v="3"/>
    <x v="2"/>
  </r>
  <r>
    <s v="TX500468"/>
    <x v="6"/>
    <x v="0"/>
    <n v="42.6"/>
    <n v="42.6"/>
    <x v="20"/>
    <x v="17"/>
    <x v="2"/>
    <x v="3"/>
    <x v="0"/>
    <x v="0"/>
    <x v="1"/>
    <x v="5"/>
    <x v="3"/>
    <x v="2"/>
  </r>
  <r>
    <s v="TX500469"/>
    <x v="5"/>
    <x v="9"/>
    <n v="49"/>
    <n v="245"/>
    <x v="20"/>
    <x v="24"/>
    <x v="1"/>
    <x v="0"/>
    <x v="0"/>
    <x v="0"/>
    <x v="22"/>
    <x v="3"/>
    <x v="3"/>
    <x v="1"/>
  </r>
  <r>
    <s v="TX500470"/>
    <x v="8"/>
    <x v="2"/>
    <n v="31.3"/>
    <n v="93.9"/>
    <x v="20"/>
    <x v="24"/>
    <x v="1"/>
    <x v="2"/>
    <x v="1"/>
    <x v="0"/>
    <x v="3"/>
    <x v="3"/>
    <x v="3"/>
    <x v="1"/>
  </r>
  <r>
    <s v="TX500471"/>
    <x v="2"/>
    <x v="1"/>
    <n v="85.4"/>
    <n v="170.8"/>
    <x v="20"/>
    <x v="24"/>
    <x v="2"/>
    <x v="2"/>
    <x v="0"/>
    <x v="0"/>
    <x v="3"/>
    <x v="3"/>
    <x v="3"/>
    <x v="2"/>
  </r>
  <r>
    <s v="TX500472"/>
    <x v="8"/>
    <x v="12"/>
    <n v="40"/>
    <n v="160"/>
    <x v="20"/>
    <x v="24"/>
    <x v="3"/>
    <x v="0"/>
    <x v="2"/>
    <x v="0"/>
    <x v="3"/>
    <x v="3"/>
    <x v="3"/>
    <x v="3"/>
  </r>
  <r>
    <s v="TX500473"/>
    <x v="5"/>
    <x v="1"/>
    <n v="38.5"/>
    <n v="77"/>
    <x v="20"/>
    <x v="25"/>
    <x v="1"/>
    <x v="1"/>
    <x v="2"/>
    <x v="0"/>
    <x v="3"/>
    <x v="2"/>
    <x v="3"/>
    <x v="1"/>
  </r>
  <r>
    <s v="TX500474"/>
    <x v="2"/>
    <x v="1"/>
    <n v="57.8"/>
    <n v="115.6"/>
    <x v="20"/>
    <x v="24"/>
    <x v="0"/>
    <x v="0"/>
    <x v="0"/>
    <x v="0"/>
    <x v="3"/>
    <x v="3"/>
    <x v="3"/>
    <x v="0"/>
  </r>
  <r>
    <s v="TX500475"/>
    <x v="8"/>
    <x v="0"/>
    <n v="19.2"/>
    <n v="19.2"/>
    <x v="20"/>
    <x v="24"/>
    <x v="2"/>
    <x v="0"/>
    <x v="4"/>
    <x v="0"/>
    <x v="3"/>
    <x v="3"/>
    <x v="3"/>
    <x v="2"/>
  </r>
  <r>
    <s v="TX500476"/>
    <x v="6"/>
    <x v="13"/>
    <n v="114.8"/>
    <n v="688.8"/>
    <x v="20"/>
    <x v="25"/>
    <x v="1"/>
    <x v="1"/>
    <x v="1"/>
    <x v="0"/>
    <x v="3"/>
    <x v="2"/>
    <x v="3"/>
    <x v="1"/>
  </r>
  <r>
    <s v="TX500477"/>
    <x v="10"/>
    <x v="3"/>
    <n v="48.4"/>
    <n v="338.8"/>
    <x v="20"/>
    <x v="25"/>
    <x v="2"/>
    <x v="3"/>
    <x v="1"/>
    <x v="0"/>
    <x v="3"/>
    <x v="2"/>
    <x v="3"/>
    <x v="2"/>
  </r>
  <r>
    <s v="TX500478"/>
    <x v="9"/>
    <x v="9"/>
    <n v="73.2"/>
    <n v="366"/>
    <x v="20"/>
    <x v="24"/>
    <x v="2"/>
    <x v="1"/>
    <x v="4"/>
    <x v="0"/>
    <x v="3"/>
    <x v="3"/>
    <x v="3"/>
    <x v="2"/>
  </r>
  <r>
    <s v="TX500479"/>
    <x v="15"/>
    <x v="1"/>
    <n v="48.6"/>
    <n v="97.2"/>
    <x v="20"/>
    <x v="17"/>
    <x v="2"/>
    <x v="3"/>
    <x v="0"/>
    <x v="0"/>
    <x v="3"/>
    <x v="5"/>
    <x v="3"/>
    <x v="2"/>
  </r>
  <r>
    <s v="TX500480"/>
    <x v="0"/>
    <x v="13"/>
    <n v="48.7"/>
    <n v="292.20000000000005"/>
    <x v="20"/>
    <x v="24"/>
    <x v="1"/>
    <x v="0"/>
    <x v="0"/>
    <x v="0"/>
    <x v="3"/>
    <x v="3"/>
    <x v="3"/>
    <x v="1"/>
  </r>
  <r>
    <s v="TX500481"/>
    <x v="4"/>
    <x v="1"/>
    <n v="32.200000000000003"/>
    <n v="64.400000000000006"/>
    <x v="20"/>
    <x v="25"/>
    <x v="1"/>
    <x v="2"/>
    <x v="2"/>
    <x v="0"/>
    <x v="3"/>
    <x v="2"/>
    <x v="3"/>
    <x v="1"/>
  </r>
  <r>
    <s v="TX500482"/>
    <x v="15"/>
    <x v="8"/>
    <n v="25.8"/>
    <n v="206.4"/>
    <x v="20"/>
    <x v="24"/>
    <x v="1"/>
    <x v="0"/>
    <x v="0"/>
    <x v="0"/>
    <x v="37"/>
    <x v="3"/>
    <x v="3"/>
    <x v="1"/>
  </r>
  <r>
    <s v="TX500483"/>
    <x v="6"/>
    <x v="1"/>
    <n v="94.8"/>
    <n v="189.6"/>
    <x v="21"/>
    <x v="17"/>
    <x v="2"/>
    <x v="1"/>
    <x v="1"/>
    <x v="0"/>
    <x v="25"/>
    <x v="2"/>
    <x v="3"/>
    <x v="2"/>
  </r>
  <r>
    <s v="TX500484"/>
    <x v="15"/>
    <x v="30"/>
    <n v="56.8"/>
    <n v="1420"/>
    <x v="21"/>
    <x v="17"/>
    <x v="1"/>
    <x v="0"/>
    <x v="0"/>
    <x v="0"/>
    <x v="25"/>
    <x v="2"/>
    <x v="3"/>
    <x v="1"/>
  </r>
  <r>
    <s v="TX500485"/>
    <x v="8"/>
    <x v="27"/>
    <n v="18.3"/>
    <n v="292.8"/>
    <x v="21"/>
    <x v="28"/>
    <x v="2"/>
    <x v="2"/>
    <x v="2"/>
    <x v="0"/>
    <x v="23"/>
    <x v="6"/>
    <x v="3"/>
    <x v="2"/>
  </r>
  <r>
    <s v="TX500486"/>
    <x v="0"/>
    <x v="2"/>
    <n v="16.8"/>
    <n v="50.400000000000006"/>
    <x v="21"/>
    <x v="22"/>
    <x v="2"/>
    <x v="2"/>
    <x v="2"/>
    <x v="0"/>
    <x v="8"/>
    <x v="0"/>
    <x v="3"/>
    <x v="2"/>
  </r>
  <r>
    <s v="TX500487"/>
    <x v="5"/>
    <x v="5"/>
    <n v="35.799999999999997"/>
    <n v="393.79999999999995"/>
    <x v="21"/>
    <x v="23"/>
    <x v="1"/>
    <x v="1"/>
    <x v="0"/>
    <x v="0"/>
    <x v="17"/>
    <x v="3"/>
    <x v="3"/>
    <x v="1"/>
  </r>
  <r>
    <s v="TX500488"/>
    <x v="18"/>
    <x v="0"/>
    <n v="64.900000000000006"/>
    <n v="64.900000000000006"/>
    <x v="21"/>
    <x v="23"/>
    <x v="1"/>
    <x v="0"/>
    <x v="1"/>
    <x v="0"/>
    <x v="17"/>
    <x v="3"/>
    <x v="3"/>
    <x v="1"/>
  </r>
  <r>
    <s v="TX500489"/>
    <x v="18"/>
    <x v="0"/>
    <n v="28.5"/>
    <n v="28.5"/>
    <x v="21"/>
    <x v="25"/>
    <x v="0"/>
    <x v="1"/>
    <x v="0"/>
    <x v="0"/>
    <x v="9"/>
    <x v="1"/>
    <x v="3"/>
    <x v="0"/>
  </r>
  <r>
    <s v="TX500490"/>
    <x v="18"/>
    <x v="1"/>
    <n v="103.5"/>
    <n v="207"/>
    <x v="21"/>
    <x v="25"/>
    <x v="2"/>
    <x v="1"/>
    <x v="0"/>
    <x v="0"/>
    <x v="10"/>
    <x v="1"/>
    <x v="3"/>
    <x v="2"/>
  </r>
  <r>
    <s v="TX500491"/>
    <x v="4"/>
    <x v="1"/>
    <n v="41.2"/>
    <n v="82.4"/>
    <x v="21"/>
    <x v="23"/>
    <x v="2"/>
    <x v="1"/>
    <x v="0"/>
    <x v="0"/>
    <x v="10"/>
    <x v="3"/>
    <x v="3"/>
    <x v="2"/>
  </r>
  <r>
    <s v="TX500492"/>
    <x v="9"/>
    <x v="0"/>
    <n v="37.799999999999997"/>
    <n v="37.799999999999997"/>
    <x v="21"/>
    <x v="25"/>
    <x v="2"/>
    <x v="3"/>
    <x v="3"/>
    <x v="0"/>
    <x v="11"/>
    <x v="1"/>
    <x v="3"/>
    <x v="2"/>
  </r>
  <r>
    <s v="TX500493"/>
    <x v="8"/>
    <x v="1"/>
    <n v="42.6"/>
    <n v="85.2"/>
    <x v="21"/>
    <x v="25"/>
    <x v="2"/>
    <x v="4"/>
    <x v="0"/>
    <x v="0"/>
    <x v="11"/>
    <x v="1"/>
    <x v="3"/>
    <x v="2"/>
  </r>
  <r>
    <s v="TX500494"/>
    <x v="8"/>
    <x v="7"/>
    <n v="15.2"/>
    <n v="152"/>
    <x v="21"/>
    <x v="25"/>
    <x v="2"/>
    <x v="2"/>
    <x v="0"/>
    <x v="0"/>
    <x v="11"/>
    <x v="1"/>
    <x v="3"/>
    <x v="2"/>
  </r>
  <r>
    <s v="TX500495"/>
    <x v="7"/>
    <x v="12"/>
    <n v="83.4"/>
    <n v="333.6"/>
    <x v="21"/>
    <x v="23"/>
    <x v="2"/>
    <x v="2"/>
    <x v="1"/>
    <x v="0"/>
    <x v="18"/>
    <x v="3"/>
    <x v="3"/>
    <x v="2"/>
  </r>
  <r>
    <s v="TX500496"/>
    <x v="19"/>
    <x v="1"/>
    <n v="27.7"/>
    <n v="55.4"/>
    <x v="21"/>
    <x v="23"/>
    <x v="2"/>
    <x v="0"/>
    <x v="1"/>
    <x v="0"/>
    <x v="13"/>
    <x v="3"/>
    <x v="3"/>
    <x v="2"/>
  </r>
  <r>
    <s v="TX500497"/>
    <x v="10"/>
    <x v="4"/>
    <n v="20.8"/>
    <n v="249.60000000000002"/>
    <x v="21"/>
    <x v="23"/>
    <x v="1"/>
    <x v="3"/>
    <x v="0"/>
    <x v="0"/>
    <x v="13"/>
    <x v="3"/>
    <x v="3"/>
    <x v="1"/>
  </r>
  <r>
    <s v="TX500498"/>
    <x v="11"/>
    <x v="1"/>
    <n v="72.7"/>
    <n v="145.4"/>
    <x v="21"/>
    <x v="19"/>
    <x v="2"/>
    <x v="4"/>
    <x v="2"/>
    <x v="0"/>
    <x v="44"/>
    <x v="5"/>
    <x v="3"/>
    <x v="2"/>
  </r>
  <r>
    <s v="TX500499"/>
    <x v="10"/>
    <x v="12"/>
    <n v="38.6"/>
    <n v="154.4"/>
    <x v="21"/>
    <x v="23"/>
    <x v="1"/>
    <x v="0"/>
    <x v="2"/>
    <x v="0"/>
    <x v="22"/>
    <x v="3"/>
    <x v="3"/>
    <x v="1"/>
  </r>
  <r>
    <s v="TX500500"/>
    <x v="8"/>
    <x v="3"/>
    <n v="33.1"/>
    <n v="231.70000000000002"/>
    <x v="21"/>
    <x v="23"/>
    <x v="3"/>
    <x v="4"/>
    <x v="3"/>
    <x v="0"/>
    <x v="3"/>
    <x v="3"/>
    <x v="3"/>
    <x v="3"/>
  </r>
  <r>
    <s v="TX500501"/>
    <x v="10"/>
    <x v="1"/>
    <n v="30.5"/>
    <n v="61"/>
    <x v="21"/>
    <x v="24"/>
    <x v="0"/>
    <x v="1"/>
    <x v="1"/>
    <x v="0"/>
    <x v="3"/>
    <x v="7"/>
    <x v="3"/>
    <x v="0"/>
  </r>
  <r>
    <s v="TX500502"/>
    <x v="9"/>
    <x v="1"/>
    <n v="69.599999999999994"/>
    <n v="139.19999999999999"/>
    <x v="21"/>
    <x v="23"/>
    <x v="1"/>
    <x v="0"/>
    <x v="1"/>
    <x v="0"/>
    <x v="3"/>
    <x v="3"/>
    <x v="3"/>
    <x v="1"/>
  </r>
  <r>
    <s v="TX500503"/>
    <x v="11"/>
    <x v="0"/>
    <n v="42.4"/>
    <n v="42.4"/>
    <x v="21"/>
    <x v="19"/>
    <x v="2"/>
    <x v="1"/>
    <x v="0"/>
    <x v="0"/>
    <x v="3"/>
    <x v="5"/>
    <x v="3"/>
    <x v="2"/>
  </r>
  <r>
    <s v="TX500504"/>
    <x v="17"/>
    <x v="0"/>
    <n v="32.200000000000003"/>
    <n v="32.200000000000003"/>
    <x v="21"/>
    <x v="17"/>
    <x v="2"/>
    <x v="2"/>
    <x v="1"/>
    <x v="0"/>
    <x v="3"/>
    <x v="2"/>
    <x v="3"/>
    <x v="2"/>
  </r>
  <r>
    <s v="TX500505"/>
    <x v="6"/>
    <x v="1"/>
    <n v="41.5"/>
    <n v="83"/>
    <x v="21"/>
    <x v="17"/>
    <x v="2"/>
    <x v="0"/>
    <x v="2"/>
    <x v="0"/>
    <x v="3"/>
    <x v="2"/>
    <x v="3"/>
    <x v="2"/>
  </r>
  <r>
    <s v="TX500506"/>
    <x v="16"/>
    <x v="11"/>
    <n v="58.9"/>
    <n v="530.1"/>
    <x v="21"/>
    <x v="19"/>
    <x v="2"/>
    <x v="3"/>
    <x v="0"/>
    <x v="0"/>
    <x v="3"/>
    <x v="5"/>
    <x v="3"/>
    <x v="2"/>
  </r>
  <r>
    <s v="TX500507"/>
    <x v="2"/>
    <x v="0"/>
    <n v="57.1"/>
    <n v="57.1"/>
    <x v="21"/>
    <x v="17"/>
    <x v="2"/>
    <x v="1"/>
    <x v="0"/>
    <x v="0"/>
    <x v="3"/>
    <x v="2"/>
    <x v="3"/>
    <x v="2"/>
  </r>
  <r>
    <s v="TX500508"/>
    <x v="6"/>
    <x v="0"/>
    <n v="57.2"/>
    <n v="57.2"/>
    <x v="21"/>
    <x v="25"/>
    <x v="1"/>
    <x v="1"/>
    <x v="0"/>
    <x v="0"/>
    <x v="3"/>
    <x v="1"/>
    <x v="3"/>
    <x v="1"/>
  </r>
  <r>
    <s v="TX500509"/>
    <x v="8"/>
    <x v="1"/>
    <n v="35.1"/>
    <n v="70.2"/>
    <x v="21"/>
    <x v="23"/>
    <x v="1"/>
    <x v="1"/>
    <x v="0"/>
    <x v="0"/>
    <x v="6"/>
    <x v="3"/>
    <x v="3"/>
    <x v="1"/>
  </r>
  <r>
    <s v="TX500510"/>
    <x v="1"/>
    <x v="0"/>
    <n v="52.1"/>
    <n v="52.1"/>
    <x v="21"/>
    <x v="25"/>
    <x v="2"/>
    <x v="4"/>
    <x v="1"/>
    <x v="0"/>
    <x v="8"/>
    <x v="1"/>
    <x v="3"/>
    <x v="2"/>
  </r>
  <r>
    <s v="TX500511"/>
    <x v="13"/>
    <x v="2"/>
    <n v="59.8"/>
    <n v="179.39999999999998"/>
    <x v="21"/>
    <x v="25"/>
    <x v="2"/>
    <x v="4"/>
    <x v="1"/>
    <x v="0"/>
    <x v="8"/>
    <x v="1"/>
    <x v="3"/>
    <x v="2"/>
  </r>
  <r>
    <s v="TX500512"/>
    <x v="3"/>
    <x v="12"/>
    <n v="83.3"/>
    <n v="333.2"/>
    <x v="21"/>
    <x v="24"/>
    <x v="0"/>
    <x v="2"/>
    <x v="0"/>
    <x v="0"/>
    <x v="8"/>
    <x v="7"/>
    <x v="3"/>
    <x v="0"/>
  </r>
  <r>
    <s v="TX500513"/>
    <x v="15"/>
    <x v="4"/>
    <n v="41.3"/>
    <n v="495.59999999999997"/>
    <x v="21"/>
    <x v="23"/>
    <x v="2"/>
    <x v="1"/>
    <x v="0"/>
    <x v="0"/>
    <x v="8"/>
    <x v="3"/>
    <x v="3"/>
    <x v="2"/>
  </r>
  <r>
    <s v="TX500514"/>
    <x v="8"/>
    <x v="9"/>
    <n v="16"/>
    <n v="80"/>
    <x v="21"/>
    <x v="25"/>
    <x v="1"/>
    <x v="4"/>
    <x v="1"/>
    <x v="0"/>
    <x v="9"/>
    <x v="1"/>
    <x v="3"/>
    <x v="1"/>
  </r>
  <r>
    <s v="TX500515"/>
    <x v="10"/>
    <x v="1"/>
    <n v="20.8"/>
    <n v="41.6"/>
    <x v="22"/>
    <x v="17"/>
    <x v="1"/>
    <x v="0"/>
    <x v="2"/>
    <x v="0"/>
    <x v="11"/>
    <x v="1"/>
    <x v="3"/>
    <x v="1"/>
  </r>
  <r>
    <s v="TX500516"/>
    <x v="8"/>
    <x v="31"/>
    <n v="27.1"/>
    <n v="758.80000000000007"/>
    <x v="22"/>
    <x v="25"/>
    <x v="0"/>
    <x v="3"/>
    <x v="2"/>
    <x v="0"/>
    <x v="11"/>
    <x v="3"/>
    <x v="3"/>
    <x v="0"/>
  </r>
  <r>
    <s v="TX500517"/>
    <x v="10"/>
    <x v="1"/>
    <n v="38.9"/>
    <n v="77.8"/>
    <x v="22"/>
    <x v="17"/>
    <x v="2"/>
    <x v="0"/>
    <x v="0"/>
    <x v="0"/>
    <x v="18"/>
    <x v="1"/>
    <x v="3"/>
    <x v="2"/>
  </r>
  <r>
    <s v="TX500518"/>
    <x v="0"/>
    <x v="1"/>
    <n v="10.8"/>
    <n v="21.6"/>
    <x v="22"/>
    <x v="19"/>
    <x v="2"/>
    <x v="1"/>
    <x v="2"/>
    <x v="0"/>
    <x v="45"/>
    <x v="2"/>
    <x v="3"/>
    <x v="2"/>
  </r>
  <r>
    <s v="TX500519"/>
    <x v="4"/>
    <x v="15"/>
    <n v="48.4"/>
    <n v="629.19999999999993"/>
    <x v="22"/>
    <x v="22"/>
    <x v="2"/>
    <x v="0"/>
    <x v="0"/>
    <x v="0"/>
    <x v="21"/>
    <x v="5"/>
    <x v="3"/>
    <x v="2"/>
  </r>
  <r>
    <s v="TX500520"/>
    <x v="4"/>
    <x v="2"/>
    <n v="29.2"/>
    <n v="87.6"/>
    <x v="22"/>
    <x v="19"/>
    <x v="2"/>
    <x v="1"/>
    <x v="1"/>
    <x v="0"/>
    <x v="2"/>
    <x v="2"/>
    <x v="3"/>
    <x v="2"/>
  </r>
  <r>
    <s v="TX500521"/>
    <x v="4"/>
    <x v="1"/>
    <n v="25.1"/>
    <n v="50.2"/>
    <x v="22"/>
    <x v="25"/>
    <x v="1"/>
    <x v="0"/>
    <x v="1"/>
    <x v="0"/>
    <x v="2"/>
    <x v="3"/>
    <x v="3"/>
    <x v="1"/>
  </r>
  <r>
    <s v="TX500522"/>
    <x v="7"/>
    <x v="2"/>
    <n v="65.599999999999994"/>
    <n v="196.79999999999998"/>
    <x v="22"/>
    <x v="23"/>
    <x v="2"/>
    <x v="2"/>
    <x v="1"/>
    <x v="0"/>
    <x v="3"/>
    <x v="7"/>
    <x v="3"/>
    <x v="2"/>
  </r>
  <r>
    <s v="TX500523"/>
    <x v="2"/>
    <x v="1"/>
    <n v="57.3"/>
    <n v="114.6"/>
    <x v="22"/>
    <x v="23"/>
    <x v="0"/>
    <x v="0"/>
    <x v="0"/>
    <x v="0"/>
    <x v="3"/>
    <x v="7"/>
    <x v="3"/>
    <x v="0"/>
  </r>
  <r>
    <s v="TX500524"/>
    <x v="9"/>
    <x v="12"/>
    <n v="22.4"/>
    <n v="89.6"/>
    <x v="22"/>
    <x v="25"/>
    <x v="2"/>
    <x v="2"/>
    <x v="2"/>
    <x v="0"/>
    <x v="3"/>
    <x v="3"/>
    <x v="3"/>
    <x v="2"/>
  </r>
  <r>
    <s v="TX500525"/>
    <x v="12"/>
    <x v="11"/>
    <n v="45.7"/>
    <n v="411.3"/>
    <x v="22"/>
    <x v="25"/>
    <x v="2"/>
    <x v="0"/>
    <x v="0"/>
    <x v="0"/>
    <x v="3"/>
    <x v="3"/>
    <x v="3"/>
    <x v="2"/>
  </r>
  <r>
    <s v="TX500526"/>
    <x v="8"/>
    <x v="1"/>
    <n v="29.3"/>
    <n v="58.6"/>
    <x v="22"/>
    <x v="25"/>
    <x v="1"/>
    <x v="1"/>
    <x v="0"/>
    <x v="0"/>
    <x v="3"/>
    <x v="3"/>
    <x v="3"/>
    <x v="1"/>
  </r>
  <r>
    <s v="TX500527"/>
    <x v="18"/>
    <x v="32"/>
    <n v="74"/>
    <n v="1628"/>
    <x v="22"/>
    <x v="25"/>
    <x v="1"/>
    <x v="0"/>
    <x v="2"/>
    <x v="0"/>
    <x v="3"/>
    <x v="3"/>
    <x v="3"/>
    <x v="1"/>
  </r>
  <r>
    <s v="TX500528"/>
    <x v="14"/>
    <x v="1"/>
    <n v="39.200000000000003"/>
    <n v="78.400000000000006"/>
    <x v="22"/>
    <x v="17"/>
    <x v="2"/>
    <x v="1"/>
    <x v="0"/>
    <x v="0"/>
    <x v="3"/>
    <x v="1"/>
    <x v="3"/>
    <x v="2"/>
  </r>
  <r>
    <s v="TX500529"/>
    <x v="4"/>
    <x v="14"/>
    <n v="62.7"/>
    <n v="1065.9000000000001"/>
    <x v="22"/>
    <x v="25"/>
    <x v="2"/>
    <x v="2"/>
    <x v="1"/>
    <x v="0"/>
    <x v="3"/>
    <x v="3"/>
    <x v="3"/>
    <x v="2"/>
  </r>
  <r>
    <s v="TX500530"/>
    <x v="10"/>
    <x v="1"/>
    <n v="60.1"/>
    <n v="120.2"/>
    <x v="22"/>
    <x v="25"/>
    <x v="2"/>
    <x v="3"/>
    <x v="0"/>
    <x v="0"/>
    <x v="3"/>
    <x v="3"/>
    <x v="3"/>
    <x v="2"/>
  </r>
  <r>
    <s v="TX500531"/>
    <x v="0"/>
    <x v="12"/>
    <n v="11.2"/>
    <n v="44.8"/>
    <x v="22"/>
    <x v="25"/>
    <x v="2"/>
    <x v="3"/>
    <x v="1"/>
    <x v="0"/>
    <x v="3"/>
    <x v="3"/>
    <x v="3"/>
    <x v="2"/>
  </r>
  <r>
    <s v="TX500532"/>
    <x v="8"/>
    <x v="1"/>
    <n v="22.9"/>
    <n v="45.8"/>
    <x v="22"/>
    <x v="25"/>
    <x v="2"/>
    <x v="0"/>
    <x v="0"/>
    <x v="0"/>
    <x v="6"/>
    <x v="3"/>
    <x v="3"/>
    <x v="2"/>
  </r>
  <r>
    <s v="TX500533"/>
    <x v="1"/>
    <x v="1"/>
    <n v="37.6"/>
    <n v="75.2"/>
    <x v="22"/>
    <x v="19"/>
    <x v="2"/>
    <x v="0"/>
    <x v="0"/>
    <x v="0"/>
    <x v="6"/>
    <x v="2"/>
    <x v="3"/>
    <x v="2"/>
  </r>
  <r>
    <s v="TX500534"/>
    <x v="6"/>
    <x v="0"/>
    <n v="42.4"/>
    <n v="42.4"/>
    <x v="22"/>
    <x v="25"/>
    <x v="2"/>
    <x v="3"/>
    <x v="2"/>
    <x v="0"/>
    <x v="6"/>
    <x v="3"/>
    <x v="3"/>
    <x v="2"/>
  </r>
  <r>
    <s v="TX500535"/>
    <x v="8"/>
    <x v="1"/>
    <n v="19.600000000000001"/>
    <n v="39.200000000000003"/>
    <x v="22"/>
    <x v="22"/>
    <x v="2"/>
    <x v="2"/>
    <x v="0"/>
    <x v="0"/>
    <x v="7"/>
    <x v="5"/>
    <x v="3"/>
    <x v="2"/>
  </r>
  <r>
    <s v="TX500536"/>
    <x v="9"/>
    <x v="0"/>
    <n v="90.5"/>
    <n v="90.5"/>
    <x v="22"/>
    <x v="19"/>
    <x v="2"/>
    <x v="2"/>
    <x v="0"/>
    <x v="0"/>
    <x v="7"/>
    <x v="2"/>
    <x v="3"/>
    <x v="2"/>
  </r>
  <r>
    <s v="TX500537"/>
    <x v="16"/>
    <x v="5"/>
    <n v="33.9"/>
    <n v="372.9"/>
    <x v="22"/>
    <x v="25"/>
    <x v="1"/>
    <x v="2"/>
    <x v="1"/>
    <x v="0"/>
    <x v="7"/>
    <x v="3"/>
    <x v="3"/>
    <x v="1"/>
  </r>
  <r>
    <s v="TX500538"/>
    <x v="0"/>
    <x v="1"/>
    <n v="32.799999999999997"/>
    <n v="65.599999999999994"/>
    <x v="22"/>
    <x v="17"/>
    <x v="2"/>
    <x v="4"/>
    <x v="4"/>
    <x v="0"/>
    <x v="8"/>
    <x v="1"/>
    <x v="3"/>
    <x v="2"/>
  </r>
  <r>
    <s v="TX500539"/>
    <x v="15"/>
    <x v="0"/>
    <n v="49.9"/>
    <n v="49.9"/>
    <x v="22"/>
    <x v="25"/>
    <x v="1"/>
    <x v="3"/>
    <x v="1"/>
    <x v="0"/>
    <x v="8"/>
    <x v="3"/>
    <x v="3"/>
    <x v="1"/>
  </r>
  <r>
    <s v="TX500540"/>
    <x v="7"/>
    <x v="9"/>
    <n v="79.2"/>
    <n v="396"/>
    <x v="22"/>
    <x v="25"/>
    <x v="2"/>
    <x v="4"/>
    <x v="0"/>
    <x v="0"/>
    <x v="8"/>
    <x v="3"/>
    <x v="3"/>
    <x v="2"/>
  </r>
  <r>
    <s v="TX500541"/>
    <x v="8"/>
    <x v="27"/>
    <n v="19.5"/>
    <n v="312"/>
    <x v="22"/>
    <x v="17"/>
    <x v="1"/>
    <x v="3"/>
    <x v="2"/>
    <x v="0"/>
    <x v="8"/>
    <x v="1"/>
    <x v="3"/>
    <x v="1"/>
  </r>
  <r>
    <s v="TX500542"/>
    <x v="8"/>
    <x v="12"/>
    <n v="18"/>
    <n v="72"/>
    <x v="22"/>
    <x v="25"/>
    <x v="1"/>
    <x v="1"/>
    <x v="0"/>
    <x v="0"/>
    <x v="10"/>
    <x v="3"/>
    <x v="3"/>
    <x v="1"/>
  </r>
  <r>
    <s v="TX500543"/>
    <x v="9"/>
    <x v="2"/>
    <n v="45.9"/>
    <n v="137.69999999999999"/>
    <x v="22"/>
    <x v="17"/>
    <x v="2"/>
    <x v="1"/>
    <x v="1"/>
    <x v="0"/>
    <x v="10"/>
    <x v="1"/>
    <x v="3"/>
    <x v="2"/>
  </r>
  <r>
    <s v="TX500544"/>
    <x v="11"/>
    <x v="0"/>
    <n v="41.2"/>
    <n v="41.2"/>
    <x v="22"/>
    <x v="17"/>
    <x v="2"/>
    <x v="1"/>
    <x v="2"/>
    <x v="0"/>
    <x v="11"/>
    <x v="1"/>
    <x v="3"/>
    <x v="2"/>
  </r>
  <r>
    <s v="TX500545"/>
    <x v="2"/>
    <x v="7"/>
    <n v="167.2"/>
    <n v="1672"/>
    <x v="22"/>
    <x v="17"/>
    <x v="2"/>
    <x v="2"/>
    <x v="2"/>
    <x v="0"/>
    <x v="32"/>
    <x v="1"/>
    <x v="3"/>
    <x v="2"/>
  </r>
  <r>
    <s v="TX500546"/>
    <x v="6"/>
    <x v="17"/>
    <n v="74.5"/>
    <n v="2235"/>
    <x v="23"/>
    <x v="22"/>
    <x v="2"/>
    <x v="1"/>
    <x v="2"/>
    <x v="0"/>
    <x v="38"/>
    <x v="2"/>
    <x v="3"/>
    <x v="2"/>
  </r>
  <r>
    <s v="TX500547"/>
    <x v="7"/>
    <x v="12"/>
    <n v="39.299999999999997"/>
    <n v="157.19999999999999"/>
    <x v="23"/>
    <x v="17"/>
    <x v="0"/>
    <x v="2"/>
    <x v="0"/>
    <x v="0"/>
    <x v="19"/>
    <x v="3"/>
    <x v="3"/>
    <x v="0"/>
  </r>
  <r>
    <s v="TX500548"/>
    <x v="9"/>
    <x v="0"/>
    <n v="68.5"/>
    <n v="68.5"/>
    <x v="23"/>
    <x v="22"/>
    <x v="1"/>
    <x v="1"/>
    <x v="2"/>
    <x v="0"/>
    <x v="12"/>
    <x v="2"/>
    <x v="3"/>
    <x v="1"/>
  </r>
  <r>
    <s v="TX500549"/>
    <x v="0"/>
    <x v="2"/>
    <n v="22.5"/>
    <n v="67.5"/>
    <x v="23"/>
    <x v="25"/>
    <x v="2"/>
    <x v="4"/>
    <x v="0"/>
    <x v="0"/>
    <x v="13"/>
    <x v="7"/>
    <x v="3"/>
    <x v="2"/>
  </r>
  <r>
    <s v="TX500550"/>
    <x v="1"/>
    <x v="0"/>
    <n v="48"/>
    <n v="48"/>
    <x v="23"/>
    <x v="17"/>
    <x v="3"/>
    <x v="4"/>
    <x v="1"/>
    <x v="0"/>
    <x v="46"/>
    <x v="3"/>
    <x v="3"/>
    <x v="3"/>
  </r>
  <r>
    <s v="TX500551"/>
    <x v="6"/>
    <x v="0"/>
    <n v="94"/>
    <n v="94"/>
    <x v="23"/>
    <x v="17"/>
    <x v="1"/>
    <x v="3"/>
    <x v="1"/>
    <x v="0"/>
    <x v="1"/>
    <x v="3"/>
    <x v="3"/>
    <x v="1"/>
  </r>
  <r>
    <s v="TX500552"/>
    <x v="8"/>
    <x v="2"/>
    <n v="21.9"/>
    <n v="65.699999999999989"/>
    <x v="23"/>
    <x v="17"/>
    <x v="2"/>
    <x v="0"/>
    <x v="0"/>
    <x v="0"/>
    <x v="44"/>
    <x v="3"/>
    <x v="3"/>
    <x v="2"/>
  </r>
  <r>
    <s v="TX500553"/>
    <x v="6"/>
    <x v="3"/>
    <n v="64.900000000000006"/>
    <n v="454.30000000000007"/>
    <x v="23"/>
    <x v="17"/>
    <x v="2"/>
    <x v="0"/>
    <x v="0"/>
    <x v="0"/>
    <x v="3"/>
    <x v="3"/>
    <x v="3"/>
    <x v="2"/>
  </r>
  <r>
    <s v="TX500554"/>
    <x v="12"/>
    <x v="0"/>
    <n v="52.9"/>
    <n v="52.9"/>
    <x v="23"/>
    <x v="25"/>
    <x v="2"/>
    <x v="1"/>
    <x v="1"/>
    <x v="0"/>
    <x v="3"/>
    <x v="7"/>
    <x v="3"/>
    <x v="2"/>
  </r>
  <r>
    <s v="TX500555"/>
    <x v="8"/>
    <x v="2"/>
    <n v="25.5"/>
    <n v="76.5"/>
    <x v="23"/>
    <x v="17"/>
    <x v="2"/>
    <x v="1"/>
    <x v="2"/>
    <x v="0"/>
    <x v="3"/>
    <x v="3"/>
    <x v="3"/>
    <x v="2"/>
  </r>
  <r>
    <s v="TX500556"/>
    <x v="6"/>
    <x v="2"/>
    <n v="51.9"/>
    <n v="155.69999999999999"/>
    <x v="23"/>
    <x v="17"/>
    <x v="2"/>
    <x v="3"/>
    <x v="0"/>
    <x v="0"/>
    <x v="3"/>
    <x v="3"/>
    <x v="3"/>
    <x v="2"/>
  </r>
  <r>
    <s v="TX500557"/>
    <x v="5"/>
    <x v="0"/>
    <n v="46.3"/>
    <n v="46.3"/>
    <x v="23"/>
    <x v="22"/>
    <x v="2"/>
    <x v="4"/>
    <x v="0"/>
    <x v="0"/>
    <x v="3"/>
    <x v="2"/>
    <x v="3"/>
    <x v="2"/>
  </r>
  <r>
    <s v="TX500558"/>
    <x v="6"/>
    <x v="1"/>
    <n v="68.2"/>
    <n v="136.4"/>
    <x v="23"/>
    <x v="19"/>
    <x v="2"/>
    <x v="3"/>
    <x v="0"/>
    <x v="0"/>
    <x v="3"/>
    <x v="1"/>
    <x v="3"/>
    <x v="2"/>
  </r>
  <r>
    <s v="TX500559"/>
    <x v="1"/>
    <x v="0"/>
    <n v="40.299999999999997"/>
    <n v="40.299999999999997"/>
    <x v="23"/>
    <x v="17"/>
    <x v="1"/>
    <x v="0"/>
    <x v="1"/>
    <x v="0"/>
    <x v="3"/>
    <x v="3"/>
    <x v="3"/>
    <x v="1"/>
  </r>
  <r>
    <s v="TX500560"/>
    <x v="2"/>
    <x v="2"/>
    <n v="91.3"/>
    <n v="273.89999999999998"/>
    <x v="23"/>
    <x v="28"/>
    <x v="1"/>
    <x v="0"/>
    <x v="2"/>
    <x v="0"/>
    <x v="6"/>
    <x v="0"/>
    <x v="3"/>
    <x v="1"/>
  </r>
  <r>
    <s v="TX500561"/>
    <x v="0"/>
    <x v="2"/>
    <n v="11.9"/>
    <n v="35.700000000000003"/>
    <x v="23"/>
    <x v="17"/>
    <x v="2"/>
    <x v="0"/>
    <x v="1"/>
    <x v="0"/>
    <x v="6"/>
    <x v="3"/>
    <x v="3"/>
    <x v="2"/>
  </r>
  <r>
    <s v="TX500562"/>
    <x v="2"/>
    <x v="1"/>
    <n v="63.5"/>
    <n v="127"/>
    <x v="23"/>
    <x v="19"/>
    <x v="1"/>
    <x v="1"/>
    <x v="0"/>
    <x v="0"/>
    <x v="6"/>
    <x v="1"/>
    <x v="3"/>
    <x v="1"/>
  </r>
  <r>
    <s v="TX500563"/>
    <x v="4"/>
    <x v="1"/>
    <n v="27.1"/>
    <n v="54.2"/>
    <x v="23"/>
    <x v="22"/>
    <x v="1"/>
    <x v="2"/>
    <x v="2"/>
    <x v="0"/>
    <x v="6"/>
    <x v="2"/>
    <x v="3"/>
    <x v="1"/>
  </r>
  <r>
    <s v="TX500564"/>
    <x v="1"/>
    <x v="1"/>
    <n v="82.1"/>
    <n v="164.2"/>
    <x v="24"/>
    <x v="29"/>
    <x v="1"/>
    <x v="1"/>
    <x v="1"/>
    <x v="0"/>
    <x v="7"/>
    <x v="2"/>
    <x v="3"/>
    <x v="1"/>
  </r>
  <r>
    <s v="TX500565"/>
    <x v="3"/>
    <x v="9"/>
    <n v="42.9"/>
    <n v="214.5"/>
    <x v="24"/>
    <x v="22"/>
    <x v="2"/>
    <x v="1"/>
    <x v="0"/>
    <x v="0"/>
    <x v="8"/>
    <x v="1"/>
    <x v="3"/>
    <x v="2"/>
  </r>
  <r>
    <s v="TX500566"/>
    <x v="8"/>
    <x v="5"/>
    <n v="37.9"/>
    <n v="416.9"/>
    <x v="24"/>
    <x v="30"/>
    <x v="1"/>
    <x v="0"/>
    <x v="0"/>
    <x v="0"/>
    <x v="8"/>
    <x v="6"/>
    <x v="3"/>
    <x v="1"/>
  </r>
  <r>
    <s v="TX500567"/>
    <x v="0"/>
    <x v="0"/>
    <n v="22.4"/>
    <n v="22.4"/>
    <x v="24"/>
    <x v="19"/>
    <x v="2"/>
    <x v="0"/>
    <x v="1"/>
    <x v="0"/>
    <x v="17"/>
    <x v="3"/>
    <x v="3"/>
    <x v="2"/>
  </r>
  <r>
    <s v="TX500568"/>
    <x v="2"/>
    <x v="15"/>
    <n v="79.900000000000006"/>
    <n v="1038.7"/>
    <x v="24"/>
    <x v="31"/>
    <x v="2"/>
    <x v="3"/>
    <x v="1"/>
    <x v="0"/>
    <x v="11"/>
    <x v="10"/>
    <x v="3"/>
    <x v="2"/>
  </r>
  <r>
    <s v="TX500569"/>
    <x v="1"/>
    <x v="0"/>
    <n v="70.599999999999994"/>
    <n v="70.599999999999994"/>
    <x v="24"/>
    <x v="29"/>
    <x v="2"/>
    <x v="0"/>
    <x v="1"/>
    <x v="0"/>
    <x v="11"/>
    <x v="2"/>
    <x v="3"/>
    <x v="2"/>
  </r>
  <r>
    <s v="TX500570"/>
    <x v="6"/>
    <x v="0"/>
    <n v="49.5"/>
    <n v="49.5"/>
    <x v="24"/>
    <x v="22"/>
    <x v="1"/>
    <x v="0"/>
    <x v="0"/>
    <x v="0"/>
    <x v="13"/>
    <x v="1"/>
    <x v="3"/>
    <x v="1"/>
  </r>
  <r>
    <s v="TX500571"/>
    <x v="2"/>
    <x v="1"/>
    <n v="96.6"/>
    <n v="193.2"/>
    <x v="24"/>
    <x v="22"/>
    <x v="1"/>
    <x v="0"/>
    <x v="0"/>
    <x v="0"/>
    <x v="21"/>
    <x v="1"/>
    <x v="3"/>
    <x v="1"/>
  </r>
  <r>
    <s v="TX500572"/>
    <x v="6"/>
    <x v="1"/>
    <n v="52.8"/>
    <n v="105.6"/>
    <x v="24"/>
    <x v="19"/>
    <x v="2"/>
    <x v="1"/>
    <x v="1"/>
    <x v="0"/>
    <x v="21"/>
    <x v="3"/>
    <x v="3"/>
    <x v="2"/>
  </r>
  <r>
    <s v="TX500573"/>
    <x v="2"/>
    <x v="0"/>
    <n v="101.7"/>
    <n v="101.7"/>
    <x v="24"/>
    <x v="19"/>
    <x v="1"/>
    <x v="0"/>
    <x v="0"/>
    <x v="0"/>
    <x v="1"/>
    <x v="3"/>
    <x v="3"/>
    <x v="1"/>
  </r>
  <r>
    <s v="TX500574"/>
    <x v="4"/>
    <x v="9"/>
    <n v="26.9"/>
    <n v="134.5"/>
    <x v="24"/>
    <x v="26"/>
    <x v="2"/>
    <x v="1"/>
    <x v="1"/>
    <x v="0"/>
    <x v="22"/>
    <x v="0"/>
    <x v="3"/>
    <x v="2"/>
  </r>
  <r>
    <s v="TX500575"/>
    <x v="2"/>
    <x v="12"/>
    <n v="211"/>
    <n v="844"/>
    <x v="24"/>
    <x v="17"/>
    <x v="2"/>
    <x v="1"/>
    <x v="1"/>
    <x v="0"/>
    <x v="3"/>
    <x v="7"/>
    <x v="3"/>
    <x v="2"/>
  </r>
  <r>
    <s v="TX500576"/>
    <x v="0"/>
    <x v="12"/>
    <n v="21.1"/>
    <n v="84.4"/>
    <x v="24"/>
    <x v="29"/>
    <x v="1"/>
    <x v="4"/>
    <x v="0"/>
    <x v="0"/>
    <x v="3"/>
    <x v="2"/>
    <x v="3"/>
    <x v="1"/>
  </r>
  <r>
    <s v="TX500577"/>
    <x v="10"/>
    <x v="0"/>
    <n v="26.6"/>
    <n v="26.6"/>
    <x v="24"/>
    <x v="22"/>
    <x v="1"/>
    <x v="0"/>
    <x v="4"/>
    <x v="0"/>
    <x v="3"/>
    <x v="1"/>
    <x v="3"/>
    <x v="1"/>
  </r>
  <r>
    <s v="TX500578"/>
    <x v="12"/>
    <x v="12"/>
    <n v="51.2"/>
    <n v="204.8"/>
    <x v="24"/>
    <x v="19"/>
    <x v="2"/>
    <x v="3"/>
    <x v="0"/>
    <x v="0"/>
    <x v="47"/>
    <x v="3"/>
    <x v="3"/>
    <x v="2"/>
  </r>
  <r>
    <s v="TX500579"/>
    <x v="0"/>
    <x v="9"/>
    <n v="10.6"/>
    <n v="53"/>
    <x v="24"/>
    <x v="28"/>
    <x v="2"/>
    <x v="0"/>
    <x v="0"/>
    <x v="0"/>
    <x v="8"/>
    <x v="5"/>
    <x v="3"/>
    <x v="2"/>
  </r>
  <r>
    <s v="TX500580"/>
    <x v="6"/>
    <x v="2"/>
    <n v="43.4"/>
    <n v="130.19999999999999"/>
    <x v="24"/>
    <x v="29"/>
    <x v="2"/>
    <x v="4"/>
    <x v="0"/>
    <x v="0"/>
    <x v="8"/>
    <x v="2"/>
    <x v="3"/>
    <x v="2"/>
  </r>
  <r>
    <s v="TX500581"/>
    <x v="12"/>
    <x v="0"/>
    <n v="80"/>
    <n v="80"/>
    <x v="24"/>
    <x v="17"/>
    <x v="2"/>
    <x v="0"/>
    <x v="2"/>
    <x v="0"/>
    <x v="8"/>
    <x v="7"/>
    <x v="3"/>
    <x v="2"/>
  </r>
  <r>
    <s v="TX500582"/>
    <x v="10"/>
    <x v="12"/>
    <n v="64.7"/>
    <n v="258.8"/>
    <x v="24"/>
    <x v="22"/>
    <x v="2"/>
    <x v="1"/>
    <x v="4"/>
    <x v="0"/>
    <x v="8"/>
    <x v="1"/>
    <x v="3"/>
    <x v="2"/>
  </r>
  <r>
    <s v="TX500583"/>
    <x v="8"/>
    <x v="5"/>
    <n v="26.3"/>
    <n v="289.3"/>
    <x v="25"/>
    <x v="19"/>
    <x v="2"/>
    <x v="4"/>
    <x v="1"/>
    <x v="0"/>
    <x v="26"/>
    <x v="7"/>
    <x v="4"/>
    <x v="2"/>
  </r>
  <r>
    <s v="TX500584"/>
    <x v="10"/>
    <x v="0"/>
    <n v="28.5"/>
    <n v="28.5"/>
    <x v="25"/>
    <x v="19"/>
    <x v="1"/>
    <x v="0"/>
    <x v="1"/>
    <x v="0"/>
    <x v="9"/>
    <x v="7"/>
    <x v="4"/>
    <x v="1"/>
  </r>
  <r>
    <s v="TX500585"/>
    <x v="17"/>
    <x v="0"/>
    <n v="47.8"/>
    <n v="47.8"/>
    <x v="25"/>
    <x v="29"/>
    <x v="2"/>
    <x v="0"/>
    <x v="1"/>
    <x v="0"/>
    <x v="9"/>
    <x v="1"/>
    <x v="4"/>
    <x v="2"/>
  </r>
  <r>
    <s v="TX500586"/>
    <x v="10"/>
    <x v="2"/>
    <n v="42.8"/>
    <n v="128.39999999999998"/>
    <x v="25"/>
    <x v="28"/>
    <x v="2"/>
    <x v="4"/>
    <x v="1"/>
    <x v="0"/>
    <x v="11"/>
    <x v="2"/>
    <x v="4"/>
    <x v="2"/>
  </r>
  <r>
    <s v="TX500587"/>
    <x v="6"/>
    <x v="9"/>
    <n v="46.8"/>
    <n v="234"/>
    <x v="25"/>
    <x v="27"/>
    <x v="2"/>
    <x v="1"/>
    <x v="2"/>
    <x v="0"/>
    <x v="11"/>
    <x v="0"/>
    <x v="4"/>
    <x v="2"/>
  </r>
  <r>
    <s v="TX500588"/>
    <x v="1"/>
    <x v="7"/>
    <n v="64.099999999999994"/>
    <n v="641"/>
    <x v="25"/>
    <x v="22"/>
    <x v="1"/>
    <x v="1"/>
    <x v="0"/>
    <x v="0"/>
    <x v="11"/>
    <x v="3"/>
    <x v="4"/>
    <x v="1"/>
  </r>
  <r>
    <s v="TX500589"/>
    <x v="2"/>
    <x v="0"/>
    <n v="89.1"/>
    <n v="89.1"/>
    <x v="25"/>
    <x v="22"/>
    <x v="2"/>
    <x v="0"/>
    <x v="1"/>
    <x v="0"/>
    <x v="20"/>
    <x v="3"/>
    <x v="4"/>
    <x v="2"/>
  </r>
  <r>
    <s v="TX500590"/>
    <x v="2"/>
    <x v="2"/>
    <n v="83.1"/>
    <n v="249.29999999999998"/>
    <x v="25"/>
    <x v="22"/>
    <x v="2"/>
    <x v="2"/>
    <x v="1"/>
    <x v="0"/>
    <x v="13"/>
    <x v="3"/>
    <x v="4"/>
    <x v="2"/>
  </r>
  <r>
    <s v="TX500591"/>
    <x v="8"/>
    <x v="2"/>
    <n v="40.9"/>
    <n v="122.69999999999999"/>
    <x v="25"/>
    <x v="22"/>
    <x v="1"/>
    <x v="0"/>
    <x v="0"/>
    <x v="0"/>
    <x v="1"/>
    <x v="3"/>
    <x v="4"/>
    <x v="1"/>
  </r>
  <r>
    <s v="TX500592"/>
    <x v="2"/>
    <x v="1"/>
    <n v="125.7"/>
    <n v="251.4"/>
    <x v="25"/>
    <x v="22"/>
    <x v="2"/>
    <x v="3"/>
    <x v="0"/>
    <x v="0"/>
    <x v="2"/>
    <x v="3"/>
    <x v="4"/>
    <x v="2"/>
  </r>
  <r>
    <s v="TX500593"/>
    <x v="3"/>
    <x v="1"/>
    <n v="30.9"/>
    <n v="61.8"/>
    <x v="25"/>
    <x v="19"/>
    <x v="2"/>
    <x v="2"/>
    <x v="2"/>
    <x v="0"/>
    <x v="22"/>
    <x v="7"/>
    <x v="4"/>
    <x v="2"/>
  </r>
  <r>
    <s v="TX500594"/>
    <x v="8"/>
    <x v="1"/>
    <n v="18.3"/>
    <n v="36.6"/>
    <x v="25"/>
    <x v="22"/>
    <x v="2"/>
    <x v="1"/>
    <x v="0"/>
    <x v="0"/>
    <x v="3"/>
    <x v="3"/>
    <x v="4"/>
    <x v="2"/>
  </r>
  <r>
    <s v="TX500595"/>
    <x v="4"/>
    <x v="1"/>
    <n v="56.5"/>
    <n v="113"/>
    <x v="25"/>
    <x v="26"/>
    <x v="1"/>
    <x v="2"/>
    <x v="2"/>
    <x v="0"/>
    <x v="3"/>
    <x v="5"/>
    <x v="4"/>
    <x v="1"/>
  </r>
  <r>
    <s v="TX500596"/>
    <x v="10"/>
    <x v="3"/>
    <n v="29.9"/>
    <n v="209.29999999999998"/>
    <x v="25"/>
    <x v="29"/>
    <x v="1"/>
    <x v="4"/>
    <x v="2"/>
    <x v="0"/>
    <x v="3"/>
    <x v="1"/>
    <x v="4"/>
    <x v="1"/>
  </r>
  <r>
    <s v="TX500597"/>
    <x v="5"/>
    <x v="1"/>
    <n v="50.4"/>
    <n v="100.8"/>
    <x v="25"/>
    <x v="22"/>
    <x v="2"/>
    <x v="2"/>
    <x v="0"/>
    <x v="0"/>
    <x v="3"/>
    <x v="3"/>
    <x v="4"/>
    <x v="2"/>
  </r>
  <r>
    <s v="TX500598"/>
    <x v="2"/>
    <x v="0"/>
    <n v="85.8"/>
    <n v="85.8"/>
    <x v="25"/>
    <x v="19"/>
    <x v="2"/>
    <x v="2"/>
    <x v="2"/>
    <x v="0"/>
    <x v="3"/>
    <x v="7"/>
    <x v="4"/>
    <x v="2"/>
  </r>
  <r>
    <s v="TX500599"/>
    <x v="4"/>
    <x v="27"/>
    <n v="66.599999999999994"/>
    <n v="1065.5999999999999"/>
    <x v="25"/>
    <x v="29"/>
    <x v="1"/>
    <x v="1"/>
    <x v="0"/>
    <x v="0"/>
    <x v="3"/>
    <x v="1"/>
    <x v="4"/>
    <x v="1"/>
  </r>
  <r>
    <s v="TX500600"/>
    <x v="6"/>
    <x v="12"/>
    <n v="70.3"/>
    <n v="281.2"/>
    <x v="25"/>
    <x v="22"/>
    <x v="2"/>
    <x v="0"/>
    <x v="1"/>
    <x v="0"/>
    <x v="3"/>
    <x v="3"/>
    <x v="4"/>
    <x v="2"/>
  </r>
  <r>
    <s v="TX500601"/>
    <x v="8"/>
    <x v="12"/>
    <n v="31"/>
    <n v="124"/>
    <x v="25"/>
    <x v="28"/>
    <x v="1"/>
    <x v="0"/>
    <x v="2"/>
    <x v="0"/>
    <x v="3"/>
    <x v="2"/>
    <x v="4"/>
    <x v="1"/>
  </r>
  <r>
    <s v="TX500602"/>
    <x v="7"/>
    <x v="13"/>
    <n v="81.599999999999994"/>
    <n v="489.59999999999997"/>
    <x v="25"/>
    <x v="22"/>
    <x v="2"/>
    <x v="1"/>
    <x v="1"/>
    <x v="0"/>
    <x v="37"/>
    <x v="3"/>
    <x v="4"/>
    <x v="2"/>
  </r>
  <r>
    <s v="TX500603"/>
    <x v="1"/>
    <x v="30"/>
    <n v="58.3"/>
    <n v="1457.5"/>
    <x v="25"/>
    <x v="22"/>
    <x v="2"/>
    <x v="0"/>
    <x v="0"/>
    <x v="0"/>
    <x v="16"/>
    <x v="3"/>
    <x v="4"/>
    <x v="2"/>
  </r>
  <r>
    <s v="TX500604"/>
    <x v="1"/>
    <x v="12"/>
    <n v="35.1"/>
    <n v="140.4"/>
    <x v="25"/>
    <x v="29"/>
    <x v="1"/>
    <x v="0"/>
    <x v="2"/>
    <x v="0"/>
    <x v="8"/>
    <x v="1"/>
    <x v="4"/>
    <x v="1"/>
  </r>
  <r>
    <s v="TX500605"/>
    <x v="2"/>
    <x v="0"/>
    <n v="80.2"/>
    <n v="80.2"/>
    <x v="25"/>
    <x v="22"/>
    <x v="1"/>
    <x v="3"/>
    <x v="2"/>
    <x v="0"/>
    <x v="8"/>
    <x v="3"/>
    <x v="4"/>
    <x v="1"/>
  </r>
  <r>
    <s v="TX500606"/>
    <x v="14"/>
    <x v="2"/>
    <n v="39.200000000000003"/>
    <n v="117.60000000000001"/>
    <x v="25"/>
    <x v="29"/>
    <x v="2"/>
    <x v="1"/>
    <x v="0"/>
    <x v="0"/>
    <x v="9"/>
    <x v="1"/>
    <x v="4"/>
    <x v="2"/>
  </r>
  <r>
    <s v="TX500607"/>
    <x v="0"/>
    <x v="1"/>
    <n v="15.4"/>
    <n v="30.8"/>
    <x v="25"/>
    <x v="19"/>
    <x v="2"/>
    <x v="3"/>
    <x v="0"/>
    <x v="0"/>
    <x v="48"/>
    <x v="7"/>
    <x v="4"/>
    <x v="2"/>
  </r>
  <r>
    <s v="TX500608"/>
    <x v="3"/>
    <x v="2"/>
    <n v="65.400000000000006"/>
    <n v="196.20000000000002"/>
    <x v="25"/>
    <x v="28"/>
    <x v="1"/>
    <x v="3"/>
    <x v="0"/>
    <x v="0"/>
    <x v="18"/>
    <x v="2"/>
    <x v="4"/>
    <x v="1"/>
  </r>
  <r>
    <s v="TX500609"/>
    <x v="1"/>
    <x v="8"/>
    <n v="63.2"/>
    <n v="505.6"/>
    <x v="25"/>
    <x v="29"/>
    <x v="2"/>
    <x v="1"/>
    <x v="0"/>
    <x v="0"/>
    <x v="19"/>
    <x v="1"/>
    <x v="4"/>
    <x v="2"/>
  </r>
  <r>
    <s v="TX500610"/>
    <x v="1"/>
    <x v="13"/>
    <n v="35.700000000000003"/>
    <n v="214.20000000000002"/>
    <x v="25"/>
    <x v="26"/>
    <x v="2"/>
    <x v="4"/>
    <x v="1"/>
    <x v="0"/>
    <x v="19"/>
    <x v="5"/>
    <x v="4"/>
    <x v="2"/>
  </r>
  <r>
    <s v="TX500611"/>
    <x v="0"/>
    <x v="28"/>
    <n v="26.2"/>
    <n v="524"/>
    <x v="25"/>
    <x v="22"/>
    <x v="2"/>
    <x v="3"/>
    <x v="0"/>
    <x v="0"/>
    <x v="21"/>
    <x v="3"/>
    <x v="4"/>
    <x v="2"/>
  </r>
  <r>
    <s v="TX500612"/>
    <x v="7"/>
    <x v="1"/>
    <n v="31"/>
    <n v="62"/>
    <x v="25"/>
    <x v="22"/>
    <x v="2"/>
    <x v="0"/>
    <x v="2"/>
    <x v="0"/>
    <x v="1"/>
    <x v="3"/>
    <x v="4"/>
    <x v="2"/>
  </r>
  <r>
    <s v="TX500613"/>
    <x v="8"/>
    <x v="12"/>
    <n v="37.700000000000003"/>
    <n v="150.80000000000001"/>
    <x v="25"/>
    <x v="22"/>
    <x v="2"/>
    <x v="1"/>
    <x v="0"/>
    <x v="0"/>
    <x v="22"/>
    <x v="3"/>
    <x v="4"/>
    <x v="2"/>
  </r>
  <r>
    <s v="TX500614"/>
    <x v="10"/>
    <x v="33"/>
    <n v="43.6"/>
    <n v="1482.4"/>
    <x v="25"/>
    <x v="29"/>
    <x v="2"/>
    <x v="4"/>
    <x v="1"/>
    <x v="0"/>
    <x v="3"/>
    <x v="1"/>
    <x v="4"/>
    <x v="2"/>
  </r>
  <r>
    <s v="TX500615"/>
    <x v="9"/>
    <x v="12"/>
    <n v="26.5"/>
    <n v="106"/>
    <x v="25"/>
    <x v="29"/>
    <x v="1"/>
    <x v="0"/>
    <x v="4"/>
    <x v="0"/>
    <x v="3"/>
    <x v="1"/>
    <x v="4"/>
    <x v="1"/>
  </r>
  <r>
    <s v="TX500616"/>
    <x v="0"/>
    <x v="1"/>
    <n v="34.6"/>
    <n v="69.2"/>
    <x v="25"/>
    <x v="22"/>
    <x v="1"/>
    <x v="4"/>
    <x v="1"/>
    <x v="0"/>
    <x v="3"/>
    <x v="3"/>
    <x v="4"/>
    <x v="1"/>
  </r>
  <r>
    <s v="TX500617"/>
    <x v="8"/>
    <x v="1"/>
    <n v="58.2"/>
    <n v="116.4"/>
    <x v="25"/>
    <x v="22"/>
    <x v="1"/>
    <x v="2"/>
    <x v="2"/>
    <x v="0"/>
    <x v="3"/>
    <x v="3"/>
    <x v="4"/>
    <x v="1"/>
  </r>
  <r>
    <s v="TX500618"/>
    <x v="7"/>
    <x v="0"/>
    <n v="30.2"/>
    <n v="30.2"/>
    <x v="26"/>
    <x v="29"/>
    <x v="2"/>
    <x v="2"/>
    <x v="1"/>
    <x v="0"/>
    <x v="3"/>
    <x v="3"/>
    <x v="4"/>
    <x v="2"/>
  </r>
  <r>
    <s v="TX500619"/>
    <x v="1"/>
    <x v="7"/>
    <n v="53.2"/>
    <n v="532"/>
    <x v="26"/>
    <x v="29"/>
    <x v="1"/>
    <x v="0"/>
    <x v="2"/>
    <x v="0"/>
    <x v="5"/>
    <x v="3"/>
    <x v="4"/>
    <x v="1"/>
  </r>
  <r>
    <s v="TX500620"/>
    <x v="12"/>
    <x v="13"/>
    <n v="51.1"/>
    <n v="306.60000000000002"/>
    <x v="26"/>
    <x v="22"/>
    <x v="1"/>
    <x v="1"/>
    <x v="2"/>
    <x v="0"/>
    <x v="5"/>
    <x v="7"/>
    <x v="4"/>
    <x v="1"/>
  </r>
  <r>
    <s v="TX500621"/>
    <x v="1"/>
    <x v="0"/>
    <n v="105.4"/>
    <n v="105.4"/>
    <x v="26"/>
    <x v="27"/>
    <x v="2"/>
    <x v="1"/>
    <x v="2"/>
    <x v="0"/>
    <x v="23"/>
    <x v="5"/>
    <x v="4"/>
    <x v="2"/>
  </r>
  <r>
    <s v="TX500622"/>
    <x v="7"/>
    <x v="0"/>
    <n v="57.7"/>
    <n v="57.7"/>
    <x v="26"/>
    <x v="22"/>
    <x v="1"/>
    <x v="0"/>
    <x v="4"/>
    <x v="0"/>
    <x v="8"/>
    <x v="7"/>
    <x v="4"/>
    <x v="1"/>
  </r>
  <r>
    <s v="TX500623"/>
    <x v="15"/>
    <x v="1"/>
    <n v="72.400000000000006"/>
    <n v="144.80000000000001"/>
    <x v="26"/>
    <x v="30"/>
    <x v="2"/>
    <x v="0"/>
    <x v="0"/>
    <x v="0"/>
    <x v="17"/>
    <x v="0"/>
    <x v="4"/>
    <x v="2"/>
  </r>
  <r>
    <s v="TX500624"/>
    <x v="6"/>
    <x v="1"/>
    <n v="62.5"/>
    <n v="125"/>
    <x v="26"/>
    <x v="29"/>
    <x v="0"/>
    <x v="0"/>
    <x v="2"/>
    <x v="0"/>
    <x v="11"/>
    <x v="3"/>
    <x v="4"/>
    <x v="0"/>
  </r>
  <r>
    <s v="TX500625"/>
    <x v="0"/>
    <x v="32"/>
    <n v="11.6"/>
    <n v="255.2"/>
    <x v="26"/>
    <x v="28"/>
    <x v="2"/>
    <x v="3"/>
    <x v="2"/>
    <x v="0"/>
    <x v="18"/>
    <x v="1"/>
    <x v="4"/>
    <x v="2"/>
  </r>
  <r>
    <s v="TX500626"/>
    <x v="10"/>
    <x v="7"/>
    <n v="39.6"/>
    <n v="396"/>
    <x v="26"/>
    <x v="28"/>
    <x v="2"/>
    <x v="2"/>
    <x v="2"/>
    <x v="0"/>
    <x v="18"/>
    <x v="1"/>
    <x v="4"/>
    <x v="2"/>
  </r>
  <r>
    <s v="TX500627"/>
    <x v="8"/>
    <x v="1"/>
    <n v="40.1"/>
    <n v="80.2"/>
    <x v="26"/>
    <x v="29"/>
    <x v="2"/>
    <x v="2"/>
    <x v="0"/>
    <x v="0"/>
    <x v="18"/>
    <x v="3"/>
    <x v="4"/>
    <x v="2"/>
  </r>
  <r>
    <s v="TX500628"/>
    <x v="8"/>
    <x v="2"/>
    <n v="18.600000000000001"/>
    <n v="55.800000000000004"/>
    <x v="26"/>
    <x v="29"/>
    <x v="2"/>
    <x v="2"/>
    <x v="0"/>
    <x v="0"/>
    <x v="21"/>
    <x v="3"/>
    <x v="4"/>
    <x v="2"/>
  </r>
  <r>
    <s v="TX500629"/>
    <x v="4"/>
    <x v="0"/>
    <n v="58.8"/>
    <n v="58.8"/>
    <x v="26"/>
    <x v="28"/>
    <x v="2"/>
    <x v="0"/>
    <x v="1"/>
    <x v="0"/>
    <x v="21"/>
    <x v="1"/>
    <x v="4"/>
    <x v="2"/>
  </r>
  <r>
    <s v="TX500630"/>
    <x v="8"/>
    <x v="1"/>
    <n v="22.1"/>
    <n v="44.2"/>
    <x v="26"/>
    <x v="26"/>
    <x v="1"/>
    <x v="1"/>
    <x v="2"/>
    <x v="0"/>
    <x v="21"/>
    <x v="2"/>
    <x v="4"/>
    <x v="1"/>
  </r>
  <r>
    <s v="TX500631"/>
    <x v="2"/>
    <x v="0"/>
    <n v="114.9"/>
    <n v="114.9"/>
    <x v="27"/>
    <x v="28"/>
    <x v="2"/>
    <x v="1"/>
    <x v="1"/>
    <x v="0"/>
    <x v="22"/>
    <x v="3"/>
    <x v="4"/>
    <x v="2"/>
  </r>
  <r>
    <s v="TX500632"/>
    <x v="9"/>
    <x v="9"/>
    <n v="75.8"/>
    <n v="379"/>
    <x v="27"/>
    <x v="28"/>
    <x v="1"/>
    <x v="0"/>
    <x v="2"/>
    <x v="0"/>
    <x v="3"/>
    <x v="3"/>
    <x v="4"/>
    <x v="1"/>
  </r>
  <r>
    <s v="TX500633"/>
    <x v="14"/>
    <x v="9"/>
    <n v="20.6"/>
    <n v="103"/>
    <x v="27"/>
    <x v="28"/>
    <x v="1"/>
    <x v="2"/>
    <x v="2"/>
    <x v="0"/>
    <x v="3"/>
    <x v="3"/>
    <x v="4"/>
    <x v="1"/>
  </r>
  <r>
    <s v="TX500634"/>
    <x v="17"/>
    <x v="2"/>
    <n v="67.900000000000006"/>
    <n v="203.70000000000002"/>
    <x v="27"/>
    <x v="28"/>
    <x v="2"/>
    <x v="1"/>
    <x v="1"/>
    <x v="0"/>
    <x v="3"/>
    <x v="3"/>
    <x v="4"/>
    <x v="2"/>
  </r>
  <r>
    <s v="TX500635"/>
    <x v="0"/>
    <x v="9"/>
    <n v="27"/>
    <n v="135"/>
    <x v="27"/>
    <x v="32"/>
    <x v="2"/>
    <x v="0"/>
    <x v="2"/>
    <x v="0"/>
    <x v="3"/>
    <x v="6"/>
    <x v="4"/>
    <x v="2"/>
  </r>
  <r>
    <s v="TX500636"/>
    <x v="13"/>
    <x v="0"/>
    <n v="50.6"/>
    <n v="50.6"/>
    <x v="27"/>
    <x v="29"/>
    <x v="1"/>
    <x v="0"/>
    <x v="1"/>
    <x v="0"/>
    <x v="3"/>
    <x v="7"/>
    <x v="4"/>
    <x v="1"/>
  </r>
  <r>
    <s v="TX500637"/>
    <x v="4"/>
    <x v="9"/>
    <n v="22.1"/>
    <n v="110.5"/>
    <x v="27"/>
    <x v="33"/>
    <x v="1"/>
    <x v="0"/>
    <x v="0"/>
    <x v="0"/>
    <x v="3"/>
    <x v="0"/>
    <x v="4"/>
    <x v="1"/>
  </r>
  <r>
    <s v="TX500638"/>
    <x v="8"/>
    <x v="2"/>
    <n v="42.9"/>
    <n v="128.69999999999999"/>
    <x v="27"/>
    <x v="26"/>
    <x v="2"/>
    <x v="0"/>
    <x v="0"/>
    <x v="0"/>
    <x v="3"/>
    <x v="1"/>
    <x v="4"/>
    <x v="2"/>
  </r>
  <r>
    <s v="TX500639"/>
    <x v="1"/>
    <x v="5"/>
    <n v="62.4"/>
    <n v="686.4"/>
    <x v="27"/>
    <x v="26"/>
    <x v="2"/>
    <x v="2"/>
    <x v="0"/>
    <x v="0"/>
    <x v="3"/>
    <x v="1"/>
    <x v="4"/>
    <x v="2"/>
  </r>
  <r>
    <s v="TX500640"/>
    <x v="13"/>
    <x v="11"/>
    <n v="36.4"/>
    <n v="327.59999999999997"/>
    <x v="27"/>
    <x v="26"/>
    <x v="2"/>
    <x v="0"/>
    <x v="2"/>
    <x v="0"/>
    <x v="3"/>
    <x v="1"/>
    <x v="4"/>
    <x v="2"/>
  </r>
  <r>
    <s v="TX500641"/>
    <x v="0"/>
    <x v="1"/>
    <n v="22.5"/>
    <n v="45"/>
    <x v="27"/>
    <x v="27"/>
    <x v="1"/>
    <x v="0"/>
    <x v="0"/>
    <x v="0"/>
    <x v="3"/>
    <x v="2"/>
    <x v="4"/>
    <x v="1"/>
  </r>
  <r>
    <s v="TX500642"/>
    <x v="6"/>
    <x v="12"/>
    <n v="70.8"/>
    <n v="283.2"/>
    <x v="27"/>
    <x v="26"/>
    <x v="2"/>
    <x v="4"/>
    <x v="0"/>
    <x v="0"/>
    <x v="3"/>
    <x v="1"/>
    <x v="4"/>
    <x v="2"/>
  </r>
  <r>
    <s v="TX500643"/>
    <x v="6"/>
    <x v="9"/>
    <n v="56.6"/>
    <n v="283"/>
    <x v="27"/>
    <x v="26"/>
    <x v="1"/>
    <x v="0"/>
    <x v="1"/>
    <x v="0"/>
    <x v="4"/>
    <x v="1"/>
    <x v="4"/>
    <x v="1"/>
  </r>
  <r>
    <s v="TX500644"/>
    <x v="6"/>
    <x v="1"/>
    <n v="47.9"/>
    <n v="95.8"/>
    <x v="27"/>
    <x v="28"/>
    <x v="2"/>
    <x v="0"/>
    <x v="0"/>
    <x v="0"/>
    <x v="6"/>
    <x v="3"/>
    <x v="4"/>
    <x v="2"/>
  </r>
  <r>
    <s v="TX500645"/>
    <x v="6"/>
    <x v="8"/>
    <n v="78.400000000000006"/>
    <n v="627.20000000000005"/>
    <x v="27"/>
    <x v="26"/>
    <x v="2"/>
    <x v="1"/>
    <x v="0"/>
    <x v="0"/>
    <x v="6"/>
    <x v="1"/>
    <x v="4"/>
    <x v="2"/>
  </r>
  <r>
    <s v="TX500646"/>
    <x v="2"/>
    <x v="21"/>
    <n v="122.1"/>
    <n v="1709.3999999999999"/>
    <x v="27"/>
    <x v="33"/>
    <x v="2"/>
    <x v="0"/>
    <x v="2"/>
    <x v="0"/>
    <x v="6"/>
    <x v="0"/>
    <x v="4"/>
    <x v="2"/>
  </r>
  <r>
    <s v="TX500647"/>
    <x v="2"/>
    <x v="1"/>
    <n v="83.7"/>
    <n v="167.4"/>
    <x v="28"/>
    <x v="28"/>
    <x v="0"/>
    <x v="1"/>
    <x v="2"/>
    <x v="0"/>
    <x v="7"/>
    <x v="7"/>
    <x v="4"/>
    <x v="0"/>
  </r>
  <r>
    <s v="TX500648"/>
    <x v="3"/>
    <x v="12"/>
    <n v="97.9"/>
    <n v="391.6"/>
    <x v="28"/>
    <x v="33"/>
    <x v="2"/>
    <x v="3"/>
    <x v="2"/>
    <x v="0"/>
    <x v="7"/>
    <x v="5"/>
    <x v="4"/>
    <x v="2"/>
  </r>
  <r>
    <s v="TX500649"/>
    <x v="14"/>
    <x v="0"/>
    <n v="15"/>
    <n v="15"/>
    <x v="28"/>
    <x v="34"/>
    <x v="2"/>
    <x v="3"/>
    <x v="0"/>
    <x v="0"/>
    <x v="8"/>
    <x v="0"/>
    <x v="4"/>
    <x v="2"/>
  </r>
  <r>
    <s v="TX500650"/>
    <x v="12"/>
    <x v="2"/>
    <n v="94.6"/>
    <n v="283.79999999999995"/>
    <x v="28"/>
    <x v="26"/>
    <x v="1"/>
    <x v="2"/>
    <x v="1"/>
    <x v="0"/>
    <x v="8"/>
    <x v="3"/>
    <x v="4"/>
    <x v="1"/>
  </r>
  <r>
    <s v="TX500651"/>
    <x v="0"/>
    <x v="13"/>
    <n v="19.7"/>
    <n v="118.19999999999999"/>
    <x v="28"/>
    <x v="35"/>
    <x v="2"/>
    <x v="0"/>
    <x v="2"/>
    <x v="0"/>
    <x v="8"/>
    <x v="11"/>
    <x v="4"/>
    <x v="2"/>
  </r>
  <r>
    <s v="TX500652"/>
    <x v="7"/>
    <x v="0"/>
    <n v="46.7"/>
    <n v="46.7"/>
    <x v="28"/>
    <x v="30"/>
    <x v="2"/>
    <x v="2"/>
    <x v="0"/>
    <x v="0"/>
    <x v="17"/>
    <x v="2"/>
    <x v="4"/>
    <x v="2"/>
  </r>
  <r>
    <s v="TX500653"/>
    <x v="1"/>
    <x v="12"/>
    <n v="43"/>
    <n v="172"/>
    <x v="28"/>
    <x v="26"/>
    <x v="1"/>
    <x v="2"/>
    <x v="2"/>
    <x v="0"/>
    <x v="17"/>
    <x v="3"/>
    <x v="4"/>
    <x v="1"/>
  </r>
  <r>
    <s v="TX500654"/>
    <x v="6"/>
    <x v="2"/>
    <n v="68.2"/>
    <n v="204.60000000000002"/>
    <x v="28"/>
    <x v="32"/>
    <x v="2"/>
    <x v="0"/>
    <x v="0"/>
    <x v="0"/>
    <x v="9"/>
    <x v="4"/>
    <x v="4"/>
    <x v="2"/>
  </r>
  <r>
    <s v="TX500655"/>
    <x v="10"/>
    <x v="7"/>
    <n v="24.3"/>
    <n v="243"/>
    <x v="28"/>
    <x v="26"/>
    <x v="1"/>
    <x v="0"/>
    <x v="2"/>
    <x v="0"/>
    <x v="10"/>
    <x v="3"/>
    <x v="4"/>
    <x v="1"/>
  </r>
  <r>
    <s v="TX500656"/>
    <x v="7"/>
    <x v="1"/>
    <n v="86.8"/>
    <n v="173.6"/>
    <x v="28"/>
    <x v="33"/>
    <x v="2"/>
    <x v="4"/>
    <x v="2"/>
    <x v="0"/>
    <x v="11"/>
    <x v="5"/>
    <x v="4"/>
    <x v="2"/>
  </r>
  <r>
    <s v="TX500657"/>
    <x v="0"/>
    <x v="1"/>
    <n v="15.8"/>
    <n v="31.6"/>
    <x v="28"/>
    <x v="27"/>
    <x v="1"/>
    <x v="1"/>
    <x v="0"/>
    <x v="0"/>
    <x v="11"/>
    <x v="1"/>
    <x v="4"/>
    <x v="1"/>
  </r>
  <r>
    <s v="TX500658"/>
    <x v="2"/>
    <x v="12"/>
    <n v="61.6"/>
    <n v="246.4"/>
    <x v="28"/>
    <x v="26"/>
    <x v="1"/>
    <x v="2"/>
    <x v="0"/>
    <x v="0"/>
    <x v="11"/>
    <x v="3"/>
    <x v="4"/>
    <x v="1"/>
  </r>
  <r>
    <s v="TX500659"/>
    <x v="6"/>
    <x v="2"/>
    <n v="48.7"/>
    <n v="146.10000000000002"/>
    <x v="28"/>
    <x v="32"/>
    <x v="2"/>
    <x v="1"/>
    <x v="2"/>
    <x v="0"/>
    <x v="45"/>
    <x v="4"/>
    <x v="4"/>
    <x v="2"/>
  </r>
  <r>
    <s v="TX500660"/>
    <x v="8"/>
    <x v="12"/>
    <n v="24.3"/>
    <n v="97.2"/>
    <x v="28"/>
    <x v="27"/>
    <x v="2"/>
    <x v="1"/>
    <x v="2"/>
    <x v="0"/>
    <x v="21"/>
    <x v="1"/>
    <x v="4"/>
    <x v="2"/>
  </r>
  <r>
    <s v="TX500661"/>
    <x v="2"/>
    <x v="1"/>
    <n v="130.69999999999999"/>
    <n v="261.39999999999998"/>
    <x v="28"/>
    <x v="26"/>
    <x v="2"/>
    <x v="2"/>
    <x v="0"/>
    <x v="0"/>
    <x v="44"/>
    <x v="3"/>
    <x v="4"/>
    <x v="2"/>
  </r>
  <r>
    <s v="TX500662"/>
    <x v="10"/>
    <x v="0"/>
    <n v="26"/>
    <n v="26"/>
    <x v="28"/>
    <x v="27"/>
    <x v="1"/>
    <x v="0"/>
    <x v="0"/>
    <x v="0"/>
    <x v="3"/>
    <x v="1"/>
    <x v="4"/>
    <x v="1"/>
  </r>
  <r>
    <s v="TX500663"/>
    <x v="2"/>
    <x v="9"/>
    <n v="94.4"/>
    <n v="472"/>
    <x v="28"/>
    <x v="26"/>
    <x v="2"/>
    <x v="0"/>
    <x v="0"/>
    <x v="0"/>
    <x v="3"/>
    <x v="3"/>
    <x v="4"/>
    <x v="2"/>
  </r>
  <r>
    <s v="TX500664"/>
    <x v="0"/>
    <x v="13"/>
    <n v="23.7"/>
    <n v="142.19999999999999"/>
    <x v="28"/>
    <x v="27"/>
    <x v="1"/>
    <x v="2"/>
    <x v="2"/>
    <x v="0"/>
    <x v="3"/>
    <x v="1"/>
    <x v="4"/>
    <x v="1"/>
  </r>
  <r>
    <s v="TX500665"/>
    <x v="9"/>
    <x v="4"/>
    <n v="37.4"/>
    <n v="448.79999999999995"/>
    <x v="28"/>
    <x v="27"/>
    <x v="1"/>
    <x v="2"/>
    <x v="0"/>
    <x v="0"/>
    <x v="3"/>
    <x v="1"/>
    <x v="4"/>
    <x v="1"/>
  </r>
  <r>
    <s v="TX500666"/>
    <x v="1"/>
    <x v="34"/>
    <n v="55.2"/>
    <n v="1987.2"/>
    <x v="28"/>
    <x v="28"/>
    <x v="2"/>
    <x v="3"/>
    <x v="1"/>
    <x v="0"/>
    <x v="3"/>
    <x v="7"/>
    <x v="4"/>
    <x v="2"/>
  </r>
  <r>
    <s v="TX500667"/>
    <x v="2"/>
    <x v="11"/>
    <n v="57.1"/>
    <n v="513.9"/>
    <x v="28"/>
    <x v="27"/>
    <x v="1"/>
    <x v="0"/>
    <x v="2"/>
    <x v="0"/>
    <x v="3"/>
    <x v="1"/>
    <x v="4"/>
    <x v="1"/>
  </r>
  <r>
    <s v="TX500668"/>
    <x v="12"/>
    <x v="0"/>
    <n v="55.3"/>
    <n v="55.3"/>
    <x v="28"/>
    <x v="26"/>
    <x v="2"/>
    <x v="2"/>
    <x v="2"/>
    <x v="0"/>
    <x v="3"/>
    <x v="3"/>
    <x v="4"/>
    <x v="2"/>
  </r>
  <r>
    <s v="TX500669"/>
    <x v="15"/>
    <x v="3"/>
    <n v="23.9"/>
    <n v="167.29999999999998"/>
    <x v="28"/>
    <x v="26"/>
    <x v="2"/>
    <x v="4"/>
    <x v="1"/>
    <x v="0"/>
    <x v="3"/>
    <x v="3"/>
    <x v="4"/>
    <x v="2"/>
  </r>
  <r>
    <s v="TX500670"/>
    <x v="0"/>
    <x v="0"/>
    <n v="34.1"/>
    <n v="34.1"/>
    <x v="28"/>
    <x v="36"/>
    <x v="2"/>
    <x v="2"/>
    <x v="0"/>
    <x v="0"/>
    <x v="3"/>
    <x v="6"/>
    <x v="4"/>
    <x v="2"/>
  </r>
  <r>
    <s v="TX500671"/>
    <x v="12"/>
    <x v="12"/>
    <n v="38.5"/>
    <n v="154"/>
    <x v="28"/>
    <x v="35"/>
    <x v="2"/>
    <x v="0"/>
    <x v="0"/>
    <x v="0"/>
    <x v="3"/>
    <x v="11"/>
    <x v="4"/>
    <x v="2"/>
  </r>
  <r>
    <s v="TX500672"/>
    <x v="7"/>
    <x v="1"/>
    <n v="105"/>
    <n v="210"/>
    <x v="28"/>
    <x v="32"/>
    <x v="2"/>
    <x v="0"/>
    <x v="2"/>
    <x v="0"/>
    <x v="3"/>
    <x v="4"/>
    <x v="4"/>
    <x v="2"/>
  </r>
  <r>
    <s v="TX500673"/>
    <x v="8"/>
    <x v="9"/>
    <n v="45.2"/>
    <n v="226"/>
    <x v="28"/>
    <x v="27"/>
    <x v="2"/>
    <x v="0"/>
    <x v="2"/>
    <x v="0"/>
    <x v="3"/>
    <x v="1"/>
    <x v="4"/>
    <x v="2"/>
  </r>
  <r>
    <s v="TX500674"/>
    <x v="17"/>
    <x v="2"/>
    <n v="24.8"/>
    <n v="74.400000000000006"/>
    <x v="28"/>
    <x v="28"/>
    <x v="0"/>
    <x v="0"/>
    <x v="1"/>
    <x v="0"/>
    <x v="3"/>
    <x v="7"/>
    <x v="4"/>
    <x v="0"/>
  </r>
  <r>
    <s v="TX500675"/>
    <x v="11"/>
    <x v="12"/>
    <n v="43.8"/>
    <n v="175.2"/>
    <x v="28"/>
    <x v="36"/>
    <x v="2"/>
    <x v="1"/>
    <x v="2"/>
    <x v="0"/>
    <x v="6"/>
    <x v="6"/>
    <x v="4"/>
    <x v="2"/>
  </r>
  <r>
    <s v="TX500676"/>
    <x v="1"/>
    <x v="0"/>
    <n v="75"/>
    <n v="75"/>
    <x v="28"/>
    <x v="27"/>
    <x v="2"/>
    <x v="4"/>
    <x v="1"/>
    <x v="0"/>
    <x v="6"/>
    <x v="1"/>
    <x v="4"/>
    <x v="2"/>
  </r>
  <r>
    <s v="TX500677"/>
    <x v="2"/>
    <x v="0"/>
    <n v="169.9"/>
    <n v="169.9"/>
    <x v="28"/>
    <x v="26"/>
    <x v="1"/>
    <x v="2"/>
    <x v="0"/>
    <x v="0"/>
    <x v="6"/>
    <x v="3"/>
    <x v="4"/>
    <x v="1"/>
  </r>
  <r>
    <s v="TX500678"/>
    <x v="9"/>
    <x v="1"/>
    <n v="72.2"/>
    <n v="144.4"/>
    <x v="28"/>
    <x v="27"/>
    <x v="2"/>
    <x v="4"/>
    <x v="1"/>
    <x v="0"/>
    <x v="6"/>
    <x v="1"/>
    <x v="4"/>
    <x v="2"/>
  </r>
  <r>
    <s v="TX500679"/>
    <x v="0"/>
    <x v="0"/>
    <n v="20"/>
    <n v="20"/>
    <x v="29"/>
    <x v="33"/>
    <x v="2"/>
    <x v="2"/>
    <x v="1"/>
    <x v="0"/>
    <x v="7"/>
    <x v="2"/>
    <x v="4"/>
    <x v="2"/>
  </r>
  <r>
    <s v="TX500680"/>
    <x v="9"/>
    <x v="1"/>
    <n v="40.799999999999997"/>
    <n v="81.599999999999994"/>
    <x v="29"/>
    <x v="30"/>
    <x v="2"/>
    <x v="3"/>
    <x v="2"/>
    <x v="0"/>
    <x v="8"/>
    <x v="1"/>
    <x v="4"/>
    <x v="2"/>
  </r>
  <r>
    <s v="TX500681"/>
    <x v="10"/>
    <x v="12"/>
    <n v="58"/>
    <n v="232"/>
    <x v="29"/>
    <x v="34"/>
    <x v="2"/>
    <x v="0"/>
    <x v="0"/>
    <x v="0"/>
    <x v="8"/>
    <x v="5"/>
    <x v="4"/>
    <x v="2"/>
  </r>
  <r>
    <s v="TX500682"/>
    <x v="12"/>
    <x v="1"/>
    <n v="43.1"/>
    <n v="86.2"/>
    <x v="29"/>
    <x v="27"/>
    <x v="2"/>
    <x v="1"/>
    <x v="2"/>
    <x v="0"/>
    <x v="8"/>
    <x v="3"/>
    <x v="4"/>
    <x v="2"/>
  </r>
  <r>
    <s v="TX500683"/>
    <x v="6"/>
    <x v="11"/>
    <n v="74.7"/>
    <n v="672.30000000000007"/>
    <x v="29"/>
    <x v="30"/>
    <x v="1"/>
    <x v="0"/>
    <x v="2"/>
    <x v="0"/>
    <x v="8"/>
    <x v="1"/>
    <x v="4"/>
    <x v="1"/>
  </r>
  <r>
    <s v="TX500684"/>
    <x v="6"/>
    <x v="0"/>
    <n v="128.19999999999999"/>
    <n v="128.19999999999999"/>
    <x v="29"/>
    <x v="26"/>
    <x v="1"/>
    <x v="1"/>
    <x v="0"/>
    <x v="0"/>
    <x v="8"/>
    <x v="7"/>
    <x v="4"/>
    <x v="1"/>
  </r>
  <r>
    <s v="TX500685"/>
    <x v="14"/>
    <x v="12"/>
    <n v="26.7"/>
    <n v="106.8"/>
    <x v="29"/>
    <x v="27"/>
    <x v="1"/>
    <x v="1"/>
    <x v="0"/>
    <x v="0"/>
    <x v="8"/>
    <x v="3"/>
    <x v="4"/>
    <x v="1"/>
  </r>
  <r>
    <s v="TX500686"/>
    <x v="17"/>
    <x v="13"/>
    <n v="31.5"/>
    <n v="189"/>
    <x v="29"/>
    <x v="27"/>
    <x v="2"/>
    <x v="2"/>
    <x v="0"/>
    <x v="0"/>
    <x v="17"/>
    <x v="3"/>
    <x v="4"/>
    <x v="2"/>
  </r>
  <r>
    <s v="TX500687"/>
    <x v="3"/>
    <x v="3"/>
    <n v="64.7"/>
    <n v="452.90000000000003"/>
    <x v="29"/>
    <x v="27"/>
    <x v="2"/>
    <x v="0"/>
    <x v="2"/>
    <x v="0"/>
    <x v="9"/>
    <x v="3"/>
    <x v="4"/>
    <x v="2"/>
  </r>
  <r>
    <s v="TX500688"/>
    <x v="5"/>
    <x v="1"/>
    <n v="55.6"/>
    <n v="111.2"/>
    <x v="29"/>
    <x v="33"/>
    <x v="2"/>
    <x v="3"/>
    <x v="0"/>
    <x v="0"/>
    <x v="11"/>
    <x v="2"/>
    <x v="4"/>
    <x v="2"/>
  </r>
  <r>
    <s v="TX500689"/>
    <x v="3"/>
    <x v="1"/>
    <n v="36.200000000000003"/>
    <n v="72.400000000000006"/>
    <x v="29"/>
    <x v="27"/>
    <x v="2"/>
    <x v="3"/>
    <x v="0"/>
    <x v="0"/>
    <x v="11"/>
    <x v="3"/>
    <x v="4"/>
    <x v="2"/>
  </r>
  <r>
    <s v="TX500690"/>
    <x v="0"/>
    <x v="0"/>
    <n v="26.6"/>
    <n v="26.6"/>
    <x v="29"/>
    <x v="27"/>
    <x v="0"/>
    <x v="1"/>
    <x v="1"/>
    <x v="0"/>
    <x v="19"/>
    <x v="3"/>
    <x v="4"/>
    <x v="0"/>
  </r>
  <r>
    <s v="TX500691"/>
    <x v="10"/>
    <x v="12"/>
    <n v="31.5"/>
    <n v="126"/>
    <x v="29"/>
    <x v="30"/>
    <x v="1"/>
    <x v="0"/>
    <x v="0"/>
    <x v="0"/>
    <x v="31"/>
    <x v="1"/>
    <x v="4"/>
    <x v="1"/>
  </r>
  <r>
    <s v="TX500692"/>
    <x v="10"/>
    <x v="0"/>
    <n v="27"/>
    <n v="27"/>
    <x v="29"/>
    <x v="30"/>
    <x v="2"/>
    <x v="1"/>
    <x v="2"/>
    <x v="0"/>
    <x v="13"/>
    <x v="1"/>
    <x v="4"/>
    <x v="2"/>
  </r>
  <r>
    <s v="TX500693"/>
    <x v="4"/>
    <x v="0"/>
    <n v="32"/>
    <n v="32"/>
    <x v="29"/>
    <x v="33"/>
    <x v="1"/>
    <x v="3"/>
    <x v="0"/>
    <x v="0"/>
    <x v="21"/>
    <x v="2"/>
    <x v="4"/>
    <x v="1"/>
  </r>
  <r>
    <s v="TX500694"/>
    <x v="1"/>
    <x v="2"/>
    <n v="48.1"/>
    <n v="144.30000000000001"/>
    <x v="29"/>
    <x v="30"/>
    <x v="1"/>
    <x v="2"/>
    <x v="1"/>
    <x v="0"/>
    <x v="1"/>
    <x v="1"/>
    <x v="4"/>
    <x v="1"/>
  </r>
  <r>
    <s v="TX500695"/>
    <x v="9"/>
    <x v="1"/>
    <n v="43.4"/>
    <n v="86.8"/>
    <x v="29"/>
    <x v="27"/>
    <x v="1"/>
    <x v="1"/>
    <x v="1"/>
    <x v="0"/>
    <x v="22"/>
    <x v="3"/>
    <x v="4"/>
    <x v="1"/>
  </r>
  <r>
    <s v="TX500696"/>
    <x v="6"/>
    <x v="1"/>
    <n v="42.6"/>
    <n v="85.2"/>
    <x v="29"/>
    <x v="33"/>
    <x v="2"/>
    <x v="3"/>
    <x v="0"/>
    <x v="0"/>
    <x v="22"/>
    <x v="2"/>
    <x v="4"/>
    <x v="2"/>
  </r>
  <r>
    <s v="TX500697"/>
    <x v="8"/>
    <x v="1"/>
    <n v="15.9"/>
    <n v="31.8"/>
    <x v="29"/>
    <x v="27"/>
    <x v="2"/>
    <x v="0"/>
    <x v="0"/>
    <x v="0"/>
    <x v="34"/>
    <x v="3"/>
    <x v="4"/>
    <x v="2"/>
  </r>
  <r>
    <s v="TX500698"/>
    <x v="9"/>
    <x v="1"/>
    <n v="63.2"/>
    <n v="126.4"/>
    <x v="29"/>
    <x v="27"/>
    <x v="1"/>
    <x v="1"/>
    <x v="0"/>
    <x v="0"/>
    <x v="3"/>
    <x v="3"/>
    <x v="4"/>
    <x v="1"/>
  </r>
  <r>
    <s v="TX500699"/>
    <x v="7"/>
    <x v="12"/>
    <n v="64.8"/>
    <n v="259.2"/>
    <x v="29"/>
    <x v="30"/>
    <x v="0"/>
    <x v="4"/>
    <x v="1"/>
    <x v="0"/>
    <x v="3"/>
    <x v="1"/>
    <x v="4"/>
    <x v="0"/>
  </r>
  <r>
    <s v="TX500700"/>
    <x v="7"/>
    <x v="2"/>
    <n v="79.8"/>
    <n v="239.39999999999998"/>
    <x v="29"/>
    <x v="27"/>
    <x v="1"/>
    <x v="0"/>
    <x v="0"/>
    <x v="0"/>
    <x v="3"/>
    <x v="3"/>
    <x v="4"/>
    <x v="1"/>
  </r>
  <r>
    <s v="TX500701"/>
    <x v="9"/>
    <x v="0"/>
    <n v="54.4"/>
    <n v="54.4"/>
    <x v="29"/>
    <x v="30"/>
    <x v="2"/>
    <x v="4"/>
    <x v="2"/>
    <x v="0"/>
    <x v="3"/>
    <x v="1"/>
    <x v="4"/>
    <x v="2"/>
  </r>
  <r>
    <s v="TX500702"/>
    <x v="6"/>
    <x v="0"/>
    <n v="87.3"/>
    <n v="87.3"/>
    <x v="29"/>
    <x v="27"/>
    <x v="1"/>
    <x v="1"/>
    <x v="0"/>
    <x v="0"/>
    <x v="3"/>
    <x v="3"/>
    <x v="4"/>
    <x v="1"/>
  </r>
  <r>
    <s v="TX500703"/>
    <x v="8"/>
    <x v="12"/>
    <n v="32.4"/>
    <n v="129.6"/>
    <x v="29"/>
    <x v="26"/>
    <x v="1"/>
    <x v="1"/>
    <x v="0"/>
    <x v="0"/>
    <x v="3"/>
    <x v="7"/>
    <x v="4"/>
    <x v="1"/>
  </r>
  <r>
    <s v="TX500704"/>
    <x v="2"/>
    <x v="0"/>
    <n v="177.4"/>
    <n v="177.4"/>
    <x v="29"/>
    <x v="34"/>
    <x v="1"/>
    <x v="0"/>
    <x v="2"/>
    <x v="0"/>
    <x v="3"/>
    <x v="5"/>
    <x v="4"/>
    <x v="1"/>
  </r>
  <r>
    <s v="TX500705"/>
    <x v="7"/>
    <x v="1"/>
    <n v="70.099999999999994"/>
    <n v="140.19999999999999"/>
    <x v="29"/>
    <x v="27"/>
    <x v="1"/>
    <x v="3"/>
    <x v="1"/>
    <x v="0"/>
    <x v="3"/>
    <x v="3"/>
    <x v="4"/>
    <x v="1"/>
  </r>
  <r>
    <s v="TX500706"/>
    <x v="9"/>
    <x v="13"/>
    <n v="51.1"/>
    <n v="306.60000000000002"/>
    <x v="29"/>
    <x v="27"/>
    <x v="2"/>
    <x v="0"/>
    <x v="0"/>
    <x v="0"/>
    <x v="3"/>
    <x v="3"/>
    <x v="4"/>
    <x v="2"/>
  </r>
  <r>
    <s v="TX500707"/>
    <x v="2"/>
    <x v="9"/>
    <n v="79.900000000000006"/>
    <n v="399.5"/>
    <x v="29"/>
    <x v="30"/>
    <x v="1"/>
    <x v="3"/>
    <x v="2"/>
    <x v="0"/>
    <x v="24"/>
    <x v="1"/>
    <x v="4"/>
    <x v="1"/>
  </r>
  <r>
    <s v="TX500708"/>
    <x v="6"/>
    <x v="0"/>
    <n v="57.6"/>
    <n v="57.6"/>
    <x v="30"/>
    <x v="36"/>
    <x v="1"/>
    <x v="0"/>
    <x v="2"/>
    <x v="0"/>
    <x v="49"/>
    <x v="0"/>
    <x v="4"/>
    <x v="1"/>
  </r>
  <r>
    <s v="TX500709"/>
    <x v="8"/>
    <x v="7"/>
    <n v="59.7"/>
    <n v="597"/>
    <x v="30"/>
    <x v="32"/>
    <x v="1"/>
    <x v="2"/>
    <x v="0"/>
    <x v="0"/>
    <x v="25"/>
    <x v="5"/>
    <x v="4"/>
    <x v="1"/>
  </r>
  <r>
    <s v="TX500710"/>
    <x v="8"/>
    <x v="9"/>
    <n v="30"/>
    <n v="150"/>
    <x v="30"/>
    <x v="33"/>
    <x v="1"/>
    <x v="1"/>
    <x v="0"/>
    <x v="0"/>
    <x v="6"/>
    <x v="1"/>
    <x v="4"/>
    <x v="1"/>
  </r>
  <r>
    <s v="TX500711"/>
    <x v="10"/>
    <x v="1"/>
    <n v="69.2"/>
    <n v="138.4"/>
    <x v="30"/>
    <x v="33"/>
    <x v="0"/>
    <x v="2"/>
    <x v="1"/>
    <x v="0"/>
    <x v="6"/>
    <x v="1"/>
    <x v="4"/>
    <x v="0"/>
  </r>
  <r>
    <s v="TX500712"/>
    <x v="0"/>
    <x v="8"/>
    <n v="10.9"/>
    <n v="87.2"/>
    <x v="30"/>
    <x v="30"/>
    <x v="2"/>
    <x v="0"/>
    <x v="2"/>
    <x v="0"/>
    <x v="6"/>
    <x v="3"/>
    <x v="4"/>
    <x v="2"/>
  </r>
  <r>
    <s v="TX500713"/>
    <x v="16"/>
    <x v="1"/>
    <n v="48.6"/>
    <n v="97.2"/>
    <x v="30"/>
    <x v="32"/>
    <x v="1"/>
    <x v="1"/>
    <x v="2"/>
    <x v="0"/>
    <x v="6"/>
    <x v="5"/>
    <x v="4"/>
    <x v="1"/>
  </r>
  <r>
    <s v="TX500714"/>
    <x v="2"/>
    <x v="1"/>
    <n v="61.1"/>
    <n v="122.2"/>
    <x v="30"/>
    <x v="34"/>
    <x v="2"/>
    <x v="1"/>
    <x v="2"/>
    <x v="0"/>
    <x v="7"/>
    <x v="2"/>
    <x v="4"/>
    <x v="2"/>
  </r>
  <r>
    <s v="TX500715"/>
    <x v="8"/>
    <x v="1"/>
    <n v="23.2"/>
    <n v="46.4"/>
    <x v="30"/>
    <x v="30"/>
    <x v="1"/>
    <x v="3"/>
    <x v="2"/>
    <x v="0"/>
    <x v="8"/>
    <x v="3"/>
    <x v="4"/>
    <x v="1"/>
  </r>
  <r>
    <s v="TX500716"/>
    <x v="12"/>
    <x v="12"/>
    <n v="55.8"/>
    <n v="223.2"/>
    <x v="30"/>
    <x v="30"/>
    <x v="1"/>
    <x v="0"/>
    <x v="0"/>
    <x v="0"/>
    <x v="8"/>
    <x v="3"/>
    <x v="4"/>
    <x v="1"/>
  </r>
  <r>
    <s v="TX500717"/>
    <x v="9"/>
    <x v="12"/>
    <n v="24.8"/>
    <n v="99.2"/>
    <x v="30"/>
    <x v="30"/>
    <x v="2"/>
    <x v="0"/>
    <x v="2"/>
    <x v="0"/>
    <x v="8"/>
    <x v="3"/>
    <x v="4"/>
    <x v="2"/>
  </r>
  <r>
    <s v="TX500718"/>
    <x v="10"/>
    <x v="1"/>
    <n v="27.9"/>
    <n v="55.8"/>
    <x v="30"/>
    <x v="27"/>
    <x v="1"/>
    <x v="2"/>
    <x v="2"/>
    <x v="0"/>
    <x v="8"/>
    <x v="7"/>
    <x v="4"/>
    <x v="1"/>
  </r>
  <r>
    <s v="TX500719"/>
    <x v="10"/>
    <x v="13"/>
    <n v="51.1"/>
    <n v="306.60000000000002"/>
    <x v="30"/>
    <x v="27"/>
    <x v="2"/>
    <x v="3"/>
    <x v="0"/>
    <x v="0"/>
    <x v="8"/>
    <x v="7"/>
    <x v="4"/>
    <x v="2"/>
  </r>
  <r>
    <s v="TX500720"/>
    <x v="17"/>
    <x v="5"/>
    <n v="32.700000000000003"/>
    <n v="359.70000000000005"/>
    <x v="30"/>
    <x v="30"/>
    <x v="1"/>
    <x v="4"/>
    <x v="2"/>
    <x v="0"/>
    <x v="17"/>
    <x v="3"/>
    <x v="4"/>
    <x v="1"/>
  </r>
  <r>
    <s v="TX500721"/>
    <x v="8"/>
    <x v="12"/>
    <n v="22.5"/>
    <n v="90"/>
    <x v="30"/>
    <x v="27"/>
    <x v="1"/>
    <x v="0"/>
    <x v="2"/>
    <x v="0"/>
    <x v="26"/>
    <x v="7"/>
    <x v="4"/>
    <x v="1"/>
  </r>
  <r>
    <s v="TX500722"/>
    <x v="0"/>
    <x v="3"/>
    <n v="14.6"/>
    <n v="102.2"/>
    <x v="30"/>
    <x v="30"/>
    <x v="2"/>
    <x v="2"/>
    <x v="0"/>
    <x v="0"/>
    <x v="41"/>
    <x v="3"/>
    <x v="4"/>
    <x v="2"/>
  </r>
  <r>
    <s v="TX500723"/>
    <x v="5"/>
    <x v="2"/>
    <n v="32.5"/>
    <n v="97.5"/>
    <x v="30"/>
    <x v="34"/>
    <x v="1"/>
    <x v="0"/>
    <x v="0"/>
    <x v="0"/>
    <x v="10"/>
    <x v="2"/>
    <x v="4"/>
    <x v="1"/>
  </r>
  <r>
    <s v="TX500724"/>
    <x v="18"/>
    <x v="0"/>
    <n v="78.099999999999994"/>
    <n v="78.099999999999994"/>
    <x v="30"/>
    <x v="34"/>
    <x v="1"/>
    <x v="0"/>
    <x v="2"/>
    <x v="0"/>
    <x v="11"/>
    <x v="2"/>
    <x v="4"/>
    <x v="1"/>
  </r>
  <r>
    <s v="TX500725"/>
    <x v="12"/>
    <x v="13"/>
    <n v="110.2"/>
    <n v="661.2"/>
    <x v="30"/>
    <x v="27"/>
    <x v="1"/>
    <x v="1"/>
    <x v="4"/>
    <x v="0"/>
    <x v="13"/>
    <x v="7"/>
    <x v="4"/>
    <x v="1"/>
  </r>
  <r>
    <s v="TX500726"/>
    <x v="6"/>
    <x v="2"/>
    <n v="86.3"/>
    <n v="258.89999999999998"/>
    <x v="30"/>
    <x v="33"/>
    <x v="2"/>
    <x v="3"/>
    <x v="0"/>
    <x v="0"/>
    <x v="21"/>
    <x v="1"/>
    <x v="4"/>
    <x v="2"/>
  </r>
  <r>
    <s v="TX500727"/>
    <x v="1"/>
    <x v="13"/>
    <n v="73.599999999999994"/>
    <n v="441.59999999999997"/>
    <x v="30"/>
    <x v="33"/>
    <x v="3"/>
    <x v="3"/>
    <x v="4"/>
    <x v="0"/>
    <x v="44"/>
    <x v="1"/>
    <x v="4"/>
    <x v="3"/>
  </r>
  <r>
    <s v="TX500728"/>
    <x v="6"/>
    <x v="15"/>
    <n v="67.7"/>
    <n v="880.1"/>
    <x v="30"/>
    <x v="33"/>
    <x v="2"/>
    <x v="0"/>
    <x v="2"/>
    <x v="0"/>
    <x v="3"/>
    <x v="1"/>
    <x v="4"/>
    <x v="2"/>
  </r>
  <r>
    <s v="TX500729"/>
    <x v="7"/>
    <x v="13"/>
    <n v="142.19999999999999"/>
    <n v="853.19999999999993"/>
    <x v="30"/>
    <x v="30"/>
    <x v="2"/>
    <x v="2"/>
    <x v="4"/>
    <x v="0"/>
    <x v="3"/>
    <x v="3"/>
    <x v="4"/>
    <x v="2"/>
  </r>
  <r>
    <s v="TX500730"/>
    <x v="1"/>
    <x v="11"/>
    <n v="45.8"/>
    <n v="412.2"/>
    <x v="30"/>
    <x v="33"/>
    <x v="2"/>
    <x v="1"/>
    <x v="2"/>
    <x v="0"/>
    <x v="3"/>
    <x v="1"/>
    <x v="4"/>
    <x v="2"/>
  </r>
  <r>
    <s v="TX500731"/>
    <x v="10"/>
    <x v="1"/>
    <n v="24.2"/>
    <n v="48.4"/>
    <x v="31"/>
    <x v="32"/>
    <x v="2"/>
    <x v="3"/>
    <x v="2"/>
    <x v="0"/>
    <x v="3"/>
    <x v="2"/>
    <x v="4"/>
    <x v="2"/>
  </r>
  <r>
    <s v="TX500732"/>
    <x v="2"/>
    <x v="2"/>
    <n v="144.9"/>
    <n v="434.70000000000005"/>
    <x v="31"/>
    <x v="33"/>
    <x v="3"/>
    <x v="2"/>
    <x v="2"/>
    <x v="0"/>
    <x v="3"/>
    <x v="3"/>
    <x v="4"/>
    <x v="3"/>
  </r>
  <r>
    <s v="TX500733"/>
    <x v="11"/>
    <x v="9"/>
    <n v="32.799999999999997"/>
    <n v="164"/>
    <x v="31"/>
    <x v="32"/>
    <x v="2"/>
    <x v="2"/>
    <x v="0"/>
    <x v="0"/>
    <x v="23"/>
    <x v="2"/>
    <x v="4"/>
    <x v="2"/>
  </r>
  <r>
    <s v="TX500734"/>
    <x v="7"/>
    <x v="7"/>
    <n v="35.700000000000003"/>
    <n v="357"/>
    <x v="31"/>
    <x v="30"/>
    <x v="2"/>
    <x v="0"/>
    <x v="1"/>
    <x v="0"/>
    <x v="6"/>
    <x v="7"/>
    <x v="4"/>
    <x v="2"/>
  </r>
  <r>
    <s v="TX500735"/>
    <x v="9"/>
    <x v="1"/>
    <n v="54.6"/>
    <n v="109.2"/>
    <x v="31"/>
    <x v="33"/>
    <x v="2"/>
    <x v="2"/>
    <x v="0"/>
    <x v="0"/>
    <x v="6"/>
    <x v="3"/>
    <x v="4"/>
    <x v="2"/>
  </r>
  <r>
    <s v="TX500736"/>
    <x v="8"/>
    <x v="1"/>
    <n v="35.700000000000003"/>
    <n v="71.400000000000006"/>
    <x v="31"/>
    <x v="32"/>
    <x v="0"/>
    <x v="0"/>
    <x v="1"/>
    <x v="0"/>
    <x v="6"/>
    <x v="2"/>
    <x v="4"/>
    <x v="0"/>
  </r>
  <r>
    <s v="TX500737"/>
    <x v="10"/>
    <x v="1"/>
    <n v="52.4"/>
    <n v="104.8"/>
    <x v="31"/>
    <x v="30"/>
    <x v="2"/>
    <x v="0"/>
    <x v="3"/>
    <x v="0"/>
    <x v="6"/>
    <x v="7"/>
    <x v="4"/>
    <x v="2"/>
  </r>
  <r>
    <s v="TX500738"/>
    <x v="8"/>
    <x v="21"/>
    <n v="16.2"/>
    <n v="226.79999999999998"/>
    <x v="31"/>
    <x v="33"/>
    <x v="0"/>
    <x v="0"/>
    <x v="1"/>
    <x v="0"/>
    <x v="8"/>
    <x v="3"/>
    <x v="4"/>
    <x v="0"/>
  </r>
  <r>
    <s v="TX500739"/>
    <x v="6"/>
    <x v="35"/>
    <n v="42.8"/>
    <n v="2011.6"/>
    <x v="31"/>
    <x v="33"/>
    <x v="2"/>
    <x v="0"/>
    <x v="0"/>
    <x v="0"/>
    <x v="8"/>
    <x v="3"/>
    <x v="4"/>
    <x v="2"/>
  </r>
  <r>
    <s v="TX500740"/>
    <x v="6"/>
    <x v="11"/>
    <n v="144.4"/>
    <n v="1299.6000000000001"/>
    <x v="31"/>
    <x v="32"/>
    <x v="2"/>
    <x v="4"/>
    <x v="0"/>
    <x v="0"/>
    <x v="8"/>
    <x v="2"/>
    <x v="4"/>
    <x v="2"/>
  </r>
  <r>
    <s v="TX500741"/>
    <x v="3"/>
    <x v="34"/>
    <n v="30.6"/>
    <n v="1101.6000000000001"/>
    <x v="31"/>
    <x v="36"/>
    <x v="2"/>
    <x v="2"/>
    <x v="2"/>
    <x v="0"/>
    <x v="11"/>
    <x v="5"/>
    <x v="4"/>
    <x v="2"/>
  </r>
  <r>
    <s v="TX500742"/>
    <x v="2"/>
    <x v="1"/>
    <n v="117.5"/>
    <n v="235"/>
    <x v="31"/>
    <x v="33"/>
    <x v="1"/>
    <x v="0"/>
    <x v="0"/>
    <x v="0"/>
    <x v="19"/>
    <x v="3"/>
    <x v="4"/>
    <x v="1"/>
  </r>
  <r>
    <s v="TX500743"/>
    <x v="6"/>
    <x v="1"/>
    <n v="105.7"/>
    <n v="211.4"/>
    <x v="31"/>
    <x v="33"/>
    <x v="2"/>
    <x v="2"/>
    <x v="2"/>
    <x v="0"/>
    <x v="21"/>
    <x v="3"/>
    <x v="4"/>
    <x v="2"/>
  </r>
  <r>
    <s v="TX500744"/>
    <x v="3"/>
    <x v="2"/>
    <n v="133.69999999999999"/>
    <n v="401.09999999999997"/>
    <x v="31"/>
    <x v="33"/>
    <x v="0"/>
    <x v="4"/>
    <x v="2"/>
    <x v="0"/>
    <x v="21"/>
    <x v="3"/>
    <x v="4"/>
    <x v="0"/>
  </r>
  <r>
    <s v="TX500745"/>
    <x v="4"/>
    <x v="9"/>
    <n v="46.8"/>
    <n v="234"/>
    <x v="32"/>
    <x v="37"/>
    <x v="2"/>
    <x v="0"/>
    <x v="1"/>
    <x v="0"/>
    <x v="21"/>
    <x v="9"/>
    <x v="5"/>
    <x v="2"/>
  </r>
  <r>
    <s v="TX500746"/>
    <x v="10"/>
    <x v="2"/>
    <n v="58.4"/>
    <n v="175.2"/>
    <x v="32"/>
    <x v="32"/>
    <x v="2"/>
    <x v="0"/>
    <x v="0"/>
    <x v="0"/>
    <x v="1"/>
    <x v="1"/>
    <x v="5"/>
    <x v="2"/>
  </r>
  <r>
    <s v="TX500747"/>
    <x v="6"/>
    <x v="11"/>
    <n v="65.099999999999994"/>
    <n v="585.9"/>
    <x v="32"/>
    <x v="38"/>
    <x v="1"/>
    <x v="1"/>
    <x v="2"/>
    <x v="0"/>
    <x v="22"/>
    <x v="5"/>
    <x v="5"/>
    <x v="1"/>
  </r>
  <r>
    <s v="TX500748"/>
    <x v="8"/>
    <x v="0"/>
    <n v="18.600000000000001"/>
    <n v="18.600000000000001"/>
    <x v="32"/>
    <x v="36"/>
    <x v="2"/>
    <x v="0"/>
    <x v="4"/>
    <x v="0"/>
    <x v="22"/>
    <x v="2"/>
    <x v="5"/>
    <x v="2"/>
  </r>
  <r>
    <s v="TX500749"/>
    <x v="1"/>
    <x v="5"/>
    <n v="92.3"/>
    <n v="1015.3"/>
    <x v="32"/>
    <x v="32"/>
    <x v="1"/>
    <x v="1"/>
    <x v="0"/>
    <x v="0"/>
    <x v="3"/>
    <x v="1"/>
    <x v="5"/>
    <x v="1"/>
  </r>
  <r>
    <s v="TX500750"/>
    <x v="6"/>
    <x v="2"/>
    <n v="81.7"/>
    <n v="245.10000000000002"/>
    <x v="32"/>
    <x v="34"/>
    <x v="0"/>
    <x v="4"/>
    <x v="4"/>
    <x v="0"/>
    <x v="3"/>
    <x v="3"/>
    <x v="5"/>
    <x v="0"/>
  </r>
  <r>
    <s v="TX500751"/>
    <x v="8"/>
    <x v="1"/>
    <n v="40.9"/>
    <n v="81.8"/>
    <x v="32"/>
    <x v="32"/>
    <x v="1"/>
    <x v="0"/>
    <x v="1"/>
    <x v="0"/>
    <x v="3"/>
    <x v="1"/>
    <x v="5"/>
    <x v="1"/>
  </r>
  <r>
    <s v="TX500752"/>
    <x v="6"/>
    <x v="12"/>
    <n v="43.2"/>
    <n v="172.8"/>
    <x v="32"/>
    <x v="39"/>
    <x v="2"/>
    <x v="0"/>
    <x v="1"/>
    <x v="0"/>
    <x v="3"/>
    <x v="4"/>
    <x v="5"/>
    <x v="2"/>
  </r>
  <r>
    <s v="TX500753"/>
    <x v="8"/>
    <x v="5"/>
    <n v="25.8"/>
    <n v="283.8"/>
    <x v="32"/>
    <x v="36"/>
    <x v="1"/>
    <x v="2"/>
    <x v="1"/>
    <x v="0"/>
    <x v="3"/>
    <x v="2"/>
    <x v="5"/>
    <x v="1"/>
  </r>
  <r>
    <s v="TX500754"/>
    <x v="15"/>
    <x v="12"/>
    <n v="36.4"/>
    <n v="145.6"/>
    <x v="32"/>
    <x v="34"/>
    <x v="1"/>
    <x v="0"/>
    <x v="0"/>
    <x v="0"/>
    <x v="3"/>
    <x v="3"/>
    <x v="5"/>
    <x v="1"/>
  </r>
  <r>
    <s v="TX500755"/>
    <x v="10"/>
    <x v="0"/>
    <n v="59.1"/>
    <n v="59.1"/>
    <x v="32"/>
    <x v="34"/>
    <x v="2"/>
    <x v="2"/>
    <x v="0"/>
    <x v="0"/>
    <x v="7"/>
    <x v="3"/>
    <x v="5"/>
    <x v="2"/>
  </r>
  <r>
    <s v="TX500756"/>
    <x v="2"/>
    <x v="14"/>
    <n v="74.5"/>
    <n v="1266.5"/>
    <x v="32"/>
    <x v="32"/>
    <x v="1"/>
    <x v="4"/>
    <x v="0"/>
    <x v="0"/>
    <x v="18"/>
    <x v="1"/>
    <x v="5"/>
    <x v="1"/>
  </r>
  <r>
    <s v="TX500757"/>
    <x v="5"/>
    <x v="0"/>
    <n v="72.8"/>
    <n v="72.8"/>
    <x v="32"/>
    <x v="34"/>
    <x v="2"/>
    <x v="0"/>
    <x v="1"/>
    <x v="0"/>
    <x v="19"/>
    <x v="3"/>
    <x v="5"/>
    <x v="2"/>
  </r>
  <r>
    <s v="TX500758"/>
    <x v="6"/>
    <x v="12"/>
    <n v="137.30000000000001"/>
    <n v="549.20000000000005"/>
    <x v="32"/>
    <x v="36"/>
    <x v="2"/>
    <x v="0"/>
    <x v="0"/>
    <x v="0"/>
    <x v="13"/>
    <x v="2"/>
    <x v="5"/>
    <x v="2"/>
  </r>
  <r>
    <s v="TX500759"/>
    <x v="1"/>
    <x v="2"/>
    <n v="48.7"/>
    <n v="146.10000000000002"/>
    <x v="32"/>
    <x v="31"/>
    <x v="2"/>
    <x v="0"/>
    <x v="1"/>
    <x v="0"/>
    <x v="21"/>
    <x v="0"/>
    <x v="5"/>
    <x v="2"/>
  </r>
  <r>
    <s v="TX500760"/>
    <x v="6"/>
    <x v="12"/>
    <n v="53.7"/>
    <n v="214.8"/>
    <x v="32"/>
    <x v="38"/>
    <x v="1"/>
    <x v="1"/>
    <x v="4"/>
    <x v="0"/>
    <x v="2"/>
    <x v="5"/>
    <x v="5"/>
    <x v="1"/>
  </r>
  <r>
    <s v="TX500761"/>
    <x v="2"/>
    <x v="3"/>
    <n v="100.9"/>
    <n v="706.30000000000007"/>
    <x v="32"/>
    <x v="32"/>
    <x v="2"/>
    <x v="0"/>
    <x v="1"/>
    <x v="0"/>
    <x v="2"/>
    <x v="1"/>
    <x v="5"/>
    <x v="2"/>
  </r>
  <r>
    <s v="TX500762"/>
    <x v="10"/>
    <x v="1"/>
    <n v="41.8"/>
    <n v="83.6"/>
    <x v="32"/>
    <x v="38"/>
    <x v="1"/>
    <x v="3"/>
    <x v="2"/>
    <x v="0"/>
    <x v="22"/>
    <x v="5"/>
    <x v="5"/>
    <x v="1"/>
  </r>
  <r>
    <s v="TX500763"/>
    <x v="4"/>
    <x v="8"/>
    <n v="28.5"/>
    <n v="228"/>
    <x v="32"/>
    <x v="32"/>
    <x v="1"/>
    <x v="2"/>
    <x v="1"/>
    <x v="0"/>
    <x v="3"/>
    <x v="1"/>
    <x v="5"/>
    <x v="1"/>
  </r>
  <r>
    <s v="TX500764"/>
    <x v="7"/>
    <x v="12"/>
    <n v="88.9"/>
    <n v="355.6"/>
    <x v="32"/>
    <x v="36"/>
    <x v="2"/>
    <x v="0"/>
    <x v="2"/>
    <x v="0"/>
    <x v="3"/>
    <x v="2"/>
    <x v="5"/>
    <x v="2"/>
  </r>
  <r>
    <s v="TX500765"/>
    <x v="6"/>
    <x v="0"/>
    <n v="62.5"/>
    <n v="62.5"/>
    <x v="32"/>
    <x v="40"/>
    <x v="2"/>
    <x v="0"/>
    <x v="2"/>
    <x v="0"/>
    <x v="3"/>
    <x v="8"/>
    <x v="5"/>
    <x v="2"/>
  </r>
  <r>
    <s v="TX500766"/>
    <x v="1"/>
    <x v="2"/>
    <n v="46.9"/>
    <n v="140.69999999999999"/>
    <x v="32"/>
    <x v="34"/>
    <x v="1"/>
    <x v="0"/>
    <x v="2"/>
    <x v="0"/>
    <x v="3"/>
    <x v="3"/>
    <x v="5"/>
    <x v="1"/>
  </r>
  <r>
    <s v="TX500767"/>
    <x v="8"/>
    <x v="2"/>
    <n v="45"/>
    <n v="135"/>
    <x v="32"/>
    <x v="41"/>
    <x v="1"/>
    <x v="1"/>
    <x v="0"/>
    <x v="0"/>
    <x v="3"/>
    <x v="12"/>
    <x v="5"/>
    <x v="1"/>
  </r>
  <r>
    <s v="TX500768"/>
    <x v="6"/>
    <x v="2"/>
    <n v="45.2"/>
    <n v="135.60000000000002"/>
    <x v="32"/>
    <x v="32"/>
    <x v="1"/>
    <x v="4"/>
    <x v="2"/>
    <x v="0"/>
    <x v="3"/>
    <x v="1"/>
    <x v="5"/>
    <x v="1"/>
  </r>
  <r>
    <s v="TX500769"/>
    <x v="4"/>
    <x v="1"/>
    <n v="60.1"/>
    <n v="120.2"/>
    <x v="32"/>
    <x v="34"/>
    <x v="2"/>
    <x v="0"/>
    <x v="2"/>
    <x v="0"/>
    <x v="3"/>
    <x v="3"/>
    <x v="5"/>
    <x v="2"/>
  </r>
  <r>
    <s v="TX500770"/>
    <x v="12"/>
    <x v="12"/>
    <n v="118.7"/>
    <n v="474.8"/>
    <x v="32"/>
    <x v="32"/>
    <x v="2"/>
    <x v="0"/>
    <x v="0"/>
    <x v="0"/>
    <x v="3"/>
    <x v="1"/>
    <x v="5"/>
    <x v="2"/>
  </r>
  <r>
    <s v="TX500771"/>
    <x v="9"/>
    <x v="0"/>
    <n v="57.8"/>
    <n v="57.8"/>
    <x v="32"/>
    <x v="40"/>
    <x v="2"/>
    <x v="1"/>
    <x v="0"/>
    <x v="0"/>
    <x v="3"/>
    <x v="8"/>
    <x v="5"/>
    <x v="2"/>
  </r>
  <r>
    <s v="TX500772"/>
    <x v="4"/>
    <x v="0"/>
    <n v="19.5"/>
    <n v="19.5"/>
    <x v="32"/>
    <x v="34"/>
    <x v="1"/>
    <x v="1"/>
    <x v="1"/>
    <x v="0"/>
    <x v="3"/>
    <x v="3"/>
    <x v="5"/>
    <x v="1"/>
  </r>
  <r>
    <s v="TX500773"/>
    <x v="12"/>
    <x v="0"/>
    <n v="42.6"/>
    <n v="42.6"/>
    <x v="32"/>
    <x v="34"/>
    <x v="1"/>
    <x v="0"/>
    <x v="1"/>
    <x v="0"/>
    <x v="3"/>
    <x v="3"/>
    <x v="5"/>
    <x v="1"/>
  </r>
  <r>
    <s v="TX500774"/>
    <x v="6"/>
    <x v="1"/>
    <n v="74.8"/>
    <n v="149.6"/>
    <x v="32"/>
    <x v="34"/>
    <x v="2"/>
    <x v="3"/>
    <x v="2"/>
    <x v="0"/>
    <x v="37"/>
    <x v="3"/>
    <x v="5"/>
    <x v="2"/>
  </r>
  <r>
    <s v="TX500775"/>
    <x v="8"/>
    <x v="2"/>
    <n v="32.5"/>
    <n v="97.5"/>
    <x v="32"/>
    <x v="34"/>
    <x v="1"/>
    <x v="2"/>
    <x v="4"/>
    <x v="0"/>
    <x v="16"/>
    <x v="3"/>
    <x v="5"/>
    <x v="1"/>
  </r>
  <r>
    <s v="TX500776"/>
    <x v="2"/>
    <x v="2"/>
    <n v="60.5"/>
    <n v="181.5"/>
    <x v="32"/>
    <x v="33"/>
    <x v="2"/>
    <x v="1"/>
    <x v="2"/>
    <x v="0"/>
    <x v="25"/>
    <x v="7"/>
    <x v="5"/>
    <x v="2"/>
  </r>
  <r>
    <s v="TX500777"/>
    <x v="1"/>
    <x v="3"/>
    <n v="57.2"/>
    <n v="400.40000000000003"/>
    <x v="32"/>
    <x v="32"/>
    <x v="0"/>
    <x v="2"/>
    <x v="0"/>
    <x v="0"/>
    <x v="25"/>
    <x v="1"/>
    <x v="5"/>
    <x v="0"/>
  </r>
  <r>
    <s v="TX500778"/>
    <x v="16"/>
    <x v="1"/>
    <n v="112"/>
    <n v="224"/>
    <x v="32"/>
    <x v="34"/>
    <x v="2"/>
    <x v="1"/>
    <x v="1"/>
    <x v="0"/>
    <x v="5"/>
    <x v="3"/>
    <x v="5"/>
    <x v="2"/>
  </r>
  <r>
    <s v="TX500779"/>
    <x v="7"/>
    <x v="7"/>
    <n v="49"/>
    <n v="490"/>
    <x v="32"/>
    <x v="34"/>
    <x v="3"/>
    <x v="2"/>
    <x v="1"/>
    <x v="0"/>
    <x v="6"/>
    <x v="3"/>
    <x v="5"/>
    <x v="3"/>
  </r>
  <r>
    <s v="TX500780"/>
    <x v="0"/>
    <x v="1"/>
    <n v="33.700000000000003"/>
    <n v="67.400000000000006"/>
    <x v="32"/>
    <x v="38"/>
    <x v="2"/>
    <x v="3"/>
    <x v="0"/>
    <x v="0"/>
    <x v="6"/>
    <x v="5"/>
    <x v="5"/>
    <x v="2"/>
  </r>
  <r>
    <s v="TX500781"/>
    <x v="4"/>
    <x v="2"/>
    <n v="35.6"/>
    <n v="106.80000000000001"/>
    <x v="32"/>
    <x v="36"/>
    <x v="2"/>
    <x v="0"/>
    <x v="2"/>
    <x v="0"/>
    <x v="6"/>
    <x v="2"/>
    <x v="5"/>
    <x v="2"/>
  </r>
  <r>
    <s v="TX500782"/>
    <x v="4"/>
    <x v="36"/>
    <n v="30.4"/>
    <n v="1064"/>
    <x v="33"/>
    <x v="34"/>
    <x v="2"/>
    <x v="0"/>
    <x v="1"/>
    <x v="0"/>
    <x v="7"/>
    <x v="7"/>
    <x v="5"/>
    <x v="2"/>
  </r>
  <r>
    <s v="TX500783"/>
    <x v="10"/>
    <x v="4"/>
    <n v="50.2"/>
    <n v="602.40000000000009"/>
    <x v="33"/>
    <x v="32"/>
    <x v="1"/>
    <x v="4"/>
    <x v="0"/>
    <x v="0"/>
    <x v="8"/>
    <x v="3"/>
    <x v="5"/>
    <x v="1"/>
  </r>
  <r>
    <s v="TX500784"/>
    <x v="1"/>
    <x v="1"/>
    <n v="43.7"/>
    <n v="87.4"/>
    <x v="33"/>
    <x v="36"/>
    <x v="2"/>
    <x v="0"/>
    <x v="0"/>
    <x v="0"/>
    <x v="8"/>
    <x v="1"/>
    <x v="5"/>
    <x v="2"/>
  </r>
  <r>
    <s v="TX500785"/>
    <x v="10"/>
    <x v="0"/>
    <n v="33.299999999999997"/>
    <n v="33.299999999999997"/>
    <x v="33"/>
    <x v="32"/>
    <x v="2"/>
    <x v="2"/>
    <x v="1"/>
    <x v="0"/>
    <x v="8"/>
    <x v="3"/>
    <x v="5"/>
    <x v="2"/>
  </r>
  <r>
    <s v="TX500786"/>
    <x v="8"/>
    <x v="12"/>
    <n v="15.1"/>
    <n v="60.4"/>
    <x v="33"/>
    <x v="36"/>
    <x v="2"/>
    <x v="4"/>
    <x v="2"/>
    <x v="0"/>
    <x v="8"/>
    <x v="1"/>
    <x v="5"/>
    <x v="2"/>
  </r>
  <r>
    <s v="TX500787"/>
    <x v="6"/>
    <x v="9"/>
    <n v="118.2"/>
    <n v="591"/>
    <x v="33"/>
    <x v="32"/>
    <x v="2"/>
    <x v="3"/>
    <x v="4"/>
    <x v="0"/>
    <x v="8"/>
    <x v="3"/>
    <x v="5"/>
    <x v="2"/>
  </r>
  <r>
    <s v="TX500788"/>
    <x v="10"/>
    <x v="2"/>
    <n v="28.9"/>
    <n v="86.699999999999989"/>
    <x v="33"/>
    <x v="36"/>
    <x v="2"/>
    <x v="2"/>
    <x v="1"/>
    <x v="0"/>
    <x v="8"/>
    <x v="1"/>
    <x v="5"/>
    <x v="2"/>
  </r>
  <r>
    <s v="TX500789"/>
    <x v="4"/>
    <x v="2"/>
    <n v="55.6"/>
    <n v="166.8"/>
    <x v="33"/>
    <x v="32"/>
    <x v="1"/>
    <x v="0"/>
    <x v="1"/>
    <x v="0"/>
    <x v="8"/>
    <x v="3"/>
    <x v="5"/>
    <x v="1"/>
  </r>
  <r>
    <s v="TX500790"/>
    <x v="9"/>
    <x v="12"/>
    <n v="25.6"/>
    <n v="102.4"/>
    <x v="33"/>
    <x v="36"/>
    <x v="2"/>
    <x v="0"/>
    <x v="1"/>
    <x v="0"/>
    <x v="8"/>
    <x v="1"/>
    <x v="5"/>
    <x v="2"/>
  </r>
  <r>
    <s v="TX500791"/>
    <x v="7"/>
    <x v="2"/>
    <n v="31.3"/>
    <n v="93.9"/>
    <x v="33"/>
    <x v="32"/>
    <x v="1"/>
    <x v="0"/>
    <x v="0"/>
    <x v="0"/>
    <x v="17"/>
    <x v="3"/>
    <x v="5"/>
    <x v="1"/>
  </r>
  <r>
    <s v="TX500792"/>
    <x v="0"/>
    <x v="2"/>
    <n v="22.1"/>
    <n v="66.300000000000011"/>
    <x v="33"/>
    <x v="31"/>
    <x v="1"/>
    <x v="0"/>
    <x v="0"/>
    <x v="0"/>
    <x v="17"/>
    <x v="5"/>
    <x v="5"/>
    <x v="1"/>
  </r>
  <r>
    <s v="TX500793"/>
    <x v="2"/>
    <x v="21"/>
    <n v="99.4"/>
    <n v="1391.6000000000001"/>
    <x v="33"/>
    <x v="32"/>
    <x v="1"/>
    <x v="1"/>
    <x v="0"/>
    <x v="0"/>
    <x v="11"/>
    <x v="3"/>
    <x v="5"/>
    <x v="1"/>
  </r>
  <r>
    <s v="TX500794"/>
    <x v="7"/>
    <x v="13"/>
    <n v="66.599999999999994"/>
    <n v="399.59999999999997"/>
    <x v="33"/>
    <x v="32"/>
    <x v="2"/>
    <x v="0"/>
    <x v="0"/>
    <x v="0"/>
    <x v="11"/>
    <x v="3"/>
    <x v="5"/>
    <x v="2"/>
  </r>
  <r>
    <s v="TX500795"/>
    <x v="8"/>
    <x v="1"/>
    <n v="22.6"/>
    <n v="45.2"/>
    <x v="33"/>
    <x v="38"/>
    <x v="1"/>
    <x v="0"/>
    <x v="0"/>
    <x v="0"/>
    <x v="11"/>
    <x v="2"/>
    <x v="5"/>
    <x v="1"/>
  </r>
  <r>
    <s v="TX500796"/>
    <x v="2"/>
    <x v="16"/>
    <n v="66.8"/>
    <n v="1202.3999999999999"/>
    <x v="33"/>
    <x v="32"/>
    <x v="2"/>
    <x v="0"/>
    <x v="4"/>
    <x v="0"/>
    <x v="13"/>
    <x v="3"/>
    <x v="5"/>
    <x v="2"/>
  </r>
  <r>
    <s v="TX500797"/>
    <x v="0"/>
    <x v="12"/>
    <n v="20.8"/>
    <n v="83.2"/>
    <x v="33"/>
    <x v="37"/>
    <x v="1"/>
    <x v="1"/>
    <x v="4"/>
    <x v="0"/>
    <x v="1"/>
    <x v="6"/>
    <x v="5"/>
    <x v="1"/>
  </r>
  <r>
    <s v="TX500798"/>
    <x v="2"/>
    <x v="3"/>
    <n v="102.5"/>
    <n v="717.5"/>
    <x v="33"/>
    <x v="32"/>
    <x v="2"/>
    <x v="4"/>
    <x v="2"/>
    <x v="0"/>
    <x v="3"/>
    <x v="3"/>
    <x v="5"/>
    <x v="2"/>
  </r>
  <r>
    <s v="TX500799"/>
    <x v="0"/>
    <x v="16"/>
    <n v="24.8"/>
    <n v="446.40000000000003"/>
    <x v="33"/>
    <x v="31"/>
    <x v="2"/>
    <x v="0"/>
    <x v="0"/>
    <x v="0"/>
    <x v="3"/>
    <x v="5"/>
    <x v="5"/>
    <x v="2"/>
  </r>
  <r>
    <s v="TX500800"/>
    <x v="4"/>
    <x v="37"/>
    <n v="31.4"/>
    <n v="973.4"/>
    <x v="33"/>
    <x v="32"/>
    <x v="2"/>
    <x v="3"/>
    <x v="0"/>
    <x v="0"/>
    <x v="3"/>
    <x v="3"/>
    <x v="5"/>
    <x v="2"/>
  </r>
  <r>
    <s v="TX500801"/>
    <x v="9"/>
    <x v="9"/>
    <n v="59.3"/>
    <n v="296.5"/>
    <x v="33"/>
    <x v="38"/>
    <x v="1"/>
    <x v="1"/>
    <x v="2"/>
    <x v="0"/>
    <x v="43"/>
    <x v="2"/>
    <x v="5"/>
    <x v="1"/>
  </r>
  <r>
    <s v="TX500802"/>
    <x v="11"/>
    <x v="13"/>
    <n v="39"/>
    <n v="234"/>
    <x v="33"/>
    <x v="38"/>
    <x v="1"/>
    <x v="1"/>
    <x v="0"/>
    <x v="0"/>
    <x v="6"/>
    <x v="2"/>
    <x v="5"/>
    <x v="1"/>
  </r>
  <r>
    <s v="TX500803"/>
    <x v="5"/>
    <x v="13"/>
    <n v="98.6"/>
    <n v="591.59999999999991"/>
    <x v="33"/>
    <x v="36"/>
    <x v="2"/>
    <x v="1"/>
    <x v="0"/>
    <x v="0"/>
    <x v="6"/>
    <x v="1"/>
    <x v="5"/>
    <x v="2"/>
  </r>
  <r>
    <s v="TX500804"/>
    <x v="8"/>
    <x v="0"/>
    <n v="20"/>
    <n v="20"/>
    <x v="34"/>
    <x v="36"/>
    <x v="1"/>
    <x v="3"/>
    <x v="2"/>
    <x v="0"/>
    <x v="8"/>
    <x v="3"/>
    <x v="5"/>
    <x v="1"/>
  </r>
  <r>
    <s v="TX500805"/>
    <x v="1"/>
    <x v="1"/>
    <n v="42.9"/>
    <n v="85.8"/>
    <x v="34"/>
    <x v="38"/>
    <x v="2"/>
    <x v="0"/>
    <x v="2"/>
    <x v="0"/>
    <x v="8"/>
    <x v="1"/>
    <x v="5"/>
    <x v="2"/>
  </r>
  <r>
    <s v="TX500806"/>
    <x v="7"/>
    <x v="3"/>
    <n v="55.6"/>
    <n v="389.2"/>
    <x v="34"/>
    <x v="38"/>
    <x v="2"/>
    <x v="2"/>
    <x v="1"/>
    <x v="0"/>
    <x v="8"/>
    <x v="1"/>
    <x v="5"/>
    <x v="2"/>
  </r>
  <r>
    <s v="TX500807"/>
    <x v="8"/>
    <x v="12"/>
    <n v="19.2"/>
    <n v="76.8"/>
    <x v="34"/>
    <x v="35"/>
    <x v="2"/>
    <x v="0"/>
    <x v="0"/>
    <x v="0"/>
    <x v="41"/>
    <x v="0"/>
    <x v="5"/>
    <x v="2"/>
  </r>
  <r>
    <s v="TX500808"/>
    <x v="5"/>
    <x v="1"/>
    <n v="28.8"/>
    <n v="57.6"/>
    <x v="34"/>
    <x v="38"/>
    <x v="1"/>
    <x v="1"/>
    <x v="0"/>
    <x v="0"/>
    <x v="18"/>
    <x v="1"/>
    <x v="5"/>
    <x v="1"/>
  </r>
  <r>
    <s v="TX500809"/>
    <x v="4"/>
    <x v="0"/>
    <n v="29.7"/>
    <n v="29.7"/>
    <x v="34"/>
    <x v="38"/>
    <x v="2"/>
    <x v="2"/>
    <x v="4"/>
    <x v="0"/>
    <x v="20"/>
    <x v="1"/>
    <x v="5"/>
    <x v="2"/>
  </r>
  <r>
    <s v="TX500810"/>
    <x v="6"/>
    <x v="13"/>
    <n v="63.3"/>
    <n v="379.79999999999995"/>
    <x v="34"/>
    <x v="36"/>
    <x v="0"/>
    <x v="0"/>
    <x v="2"/>
    <x v="0"/>
    <x v="21"/>
    <x v="3"/>
    <x v="5"/>
    <x v="0"/>
  </r>
  <r>
    <s v="TX500811"/>
    <x v="4"/>
    <x v="0"/>
    <n v="46"/>
    <n v="46"/>
    <x v="34"/>
    <x v="36"/>
    <x v="2"/>
    <x v="0"/>
    <x v="2"/>
    <x v="0"/>
    <x v="21"/>
    <x v="3"/>
    <x v="5"/>
    <x v="2"/>
  </r>
  <r>
    <s v="TX500812"/>
    <x v="11"/>
    <x v="2"/>
    <n v="38"/>
    <n v="114"/>
    <x v="34"/>
    <x v="38"/>
    <x v="2"/>
    <x v="1"/>
    <x v="2"/>
    <x v="0"/>
    <x v="21"/>
    <x v="1"/>
    <x v="5"/>
    <x v="2"/>
  </r>
  <r>
    <s v="TX500813"/>
    <x v="10"/>
    <x v="15"/>
    <n v="34.6"/>
    <n v="449.8"/>
    <x v="34"/>
    <x v="38"/>
    <x v="2"/>
    <x v="0"/>
    <x v="1"/>
    <x v="0"/>
    <x v="21"/>
    <x v="1"/>
    <x v="5"/>
    <x v="2"/>
  </r>
  <r>
    <s v="TX500814"/>
    <x v="3"/>
    <x v="7"/>
    <n v="79.7"/>
    <n v="797"/>
    <x v="34"/>
    <x v="36"/>
    <x v="2"/>
    <x v="4"/>
    <x v="1"/>
    <x v="0"/>
    <x v="21"/>
    <x v="3"/>
    <x v="5"/>
    <x v="2"/>
  </r>
  <r>
    <s v="TX500815"/>
    <x v="8"/>
    <x v="8"/>
    <n v="30.5"/>
    <n v="244"/>
    <x v="34"/>
    <x v="39"/>
    <x v="1"/>
    <x v="3"/>
    <x v="0"/>
    <x v="0"/>
    <x v="1"/>
    <x v="5"/>
    <x v="5"/>
    <x v="1"/>
  </r>
  <r>
    <s v="TX500816"/>
    <x v="0"/>
    <x v="1"/>
    <n v="20.8"/>
    <n v="41.6"/>
    <x v="34"/>
    <x v="36"/>
    <x v="2"/>
    <x v="0"/>
    <x v="0"/>
    <x v="0"/>
    <x v="2"/>
    <x v="3"/>
    <x v="5"/>
    <x v="2"/>
  </r>
  <r>
    <s v="TX500817"/>
    <x v="11"/>
    <x v="3"/>
    <n v="48.5"/>
    <n v="339.5"/>
    <x v="34"/>
    <x v="39"/>
    <x v="2"/>
    <x v="2"/>
    <x v="2"/>
    <x v="0"/>
    <x v="2"/>
    <x v="5"/>
    <x v="5"/>
    <x v="2"/>
  </r>
  <r>
    <s v="TX500818"/>
    <x v="2"/>
    <x v="12"/>
    <n v="61.8"/>
    <n v="247.2"/>
    <x v="34"/>
    <x v="39"/>
    <x v="2"/>
    <x v="4"/>
    <x v="0"/>
    <x v="0"/>
    <x v="22"/>
    <x v="5"/>
    <x v="5"/>
    <x v="2"/>
  </r>
  <r>
    <s v="TX500819"/>
    <x v="10"/>
    <x v="0"/>
    <n v="46.1"/>
    <n v="46.1"/>
    <x v="34"/>
    <x v="36"/>
    <x v="3"/>
    <x v="2"/>
    <x v="0"/>
    <x v="0"/>
    <x v="3"/>
    <x v="3"/>
    <x v="5"/>
    <x v="3"/>
  </r>
  <r>
    <s v="TX500820"/>
    <x v="4"/>
    <x v="13"/>
    <n v="44"/>
    <n v="264"/>
    <x v="34"/>
    <x v="36"/>
    <x v="2"/>
    <x v="0"/>
    <x v="0"/>
    <x v="0"/>
    <x v="3"/>
    <x v="3"/>
    <x v="5"/>
    <x v="2"/>
  </r>
  <r>
    <s v="TX500821"/>
    <x v="18"/>
    <x v="1"/>
    <n v="95.7"/>
    <n v="191.4"/>
    <x v="34"/>
    <x v="37"/>
    <x v="2"/>
    <x v="3"/>
    <x v="2"/>
    <x v="0"/>
    <x v="3"/>
    <x v="4"/>
    <x v="5"/>
    <x v="2"/>
  </r>
  <r>
    <s v="TX500822"/>
    <x v="7"/>
    <x v="9"/>
    <n v="46.4"/>
    <n v="232"/>
    <x v="34"/>
    <x v="31"/>
    <x v="2"/>
    <x v="0"/>
    <x v="0"/>
    <x v="0"/>
    <x v="3"/>
    <x v="2"/>
    <x v="5"/>
    <x v="2"/>
  </r>
  <r>
    <s v="TX500823"/>
    <x v="6"/>
    <x v="1"/>
    <n v="47.2"/>
    <n v="94.4"/>
    <x v="34"/>
    <x v="38"/>
    <x v="2"/>
    <x v="0"/>
    <x v="2"/>
    <x v="0"/>
    <x v="3"/>
    <x v="1"/>
    <x v="5"/>
    <x v="2"/>
  </r>
  <r>
    <s v="TX500824"/>
    <x v="7"/>
    <x v="1"/>
    <n v="58.6"/>
    <n v="117.2"/>
    <x v="34"/>
    <x v="36"/>
    <x v="2"/>
    <x v="2"/>
    <x v="1"/>
    <x v="0"/>
    <x v="3"/>
    <x v="3"/>
    <x v="5"/>
    <x v="2"/>
  </r>
  <r>
    <s v="TX500825"/>
    <x v="4"/>
    <x v="2"/>
    <n v="57"/>
    <n v="171"/>
    <x v="34"/>
    <x v="36"/>
    <x v="1"/>
    <x v="0"/>
    <x v="2"/>
    <x v="0"/>
    <x v="3"/>
    <x v="3"/>
    <x v="5"/>
    <x v="1"/>
  </r>
  <r>
    <s v="TX500826"/>
    <x v="8"/>
    <x v="12"/>
    <n v="28.9"/>
    <n v="115.6"/>
    <x v="34"/>
    <x v="39"/>
    <x v="1"/>
    <x v="2"/>
    <x v="0"/>
    <x v="0"/>
    <x v="3"/>
    <x v="5"/>
    <x v="5"/>
    <x v="1"/>
  </r>
  <r>
    <s v="TX500827"/>
    <x v="12"/>
    <x v="9"/>
    <n v="60.7"/>
    <n v="303.5"/>
    <x v="34"/>
    <x v="39"/>
    <x v="0"/>
    <x v="1"/>
    <x v="1"/>
    <x v="0"/>
    <x v="3"/>
    <x v="5"/>
    <x v="5"/>
    <x v="0"/>
  </r>
  <r>
    <s v="TX500828"/>
    <x v="6"/>
    <x v="9"/>
    <n v="60.8"/>
    <n v="304"/>
    <x v="34"/>
    <x v="39"/>
    <x v="1"/>
    <x v="0"/>
    <x v="1"/>
    <x v="0"/>
    <x v="3"/>
    <x v="5"/>
    <x v="5"/>
    <x v="1"/>
  </r>
  <r>
    <s v="TX500829"/>
    <x v="6"/>
    <x v="9"/>
    <n v="64.599999999999994"/>
    <n v="323"/>
    <x v="34"/>
    <x v="36"/>
    <x v="2"/>
    <x v="3"/>
    <x v="0"/>
    <x v="0"/>
    <x v="3"/>
    <x v="3"/>
    <x v="5"/>
    <x v="2"/>
  </r>
  <r>
    <s v="TX500830"/>
    <x v="8"/>
    <x v="0"/>
    <n v="21.9"/>
    <n v="21.9"/>
    <x v="34"/>
    <x v="31"/>
    <x v="1"/>
    <x v="1"/>
    <x v="2"/>
    <x v="0"/>
    <x v="4"/>
    <x v="2"/>
    <x v="5"/>
    <x v="1"/>
  </r>
  <r>
    <s v="TX500831"/>
    <x v="4"/>
    <x v="4"/>
    <n v="33.4"/>
    <n v="400.79999999999995"/>
    <x v="34"/>
    <x v="38"/>
    <x v="2"/>
    <x v="0"/>
    <x v="0"/>
    <x v="0"/>
    <x v="23"/>
    <x v="1"/>
    <x v="5"/>
    <x v="2"/>
  </r>
  <r>
    <s v="TX500832"/>
    <x v="2"/>
    <x v="0"/>
    <n v="51.7"/>
    <n v="51.7"/>
    <x v="34"/>
    <x v="36"/>
    <x v="0"/>
    <x v="0"/>
    <x v="0"/>
    <x v="0"/>
    <x v="6"/>
    <x v="3"/>
    <x v="5"/>
    <x v="0"/>
  </r>
  <r>
    <s v="TX500833"/>
    <x v="1"/>
    <x v="12"/>
    <n v="84.9"/>
    <n v="339.6"/>
    <x v="34"/>
    <x v="36"/>
    <x v="2"/>
    <x v="1"/>
    <x v="1"/>
    <x v="0"/>
    <x v="6"/>
    <x v="3"/>
    <x v="5"/>
    <x v="2"/>
  </r>
  <r>
    <s v="TX500834"/>
    <x v="1"/>
    <x v="5"/>
    <n v="62.3"/>
    <n v="685.3"/>
    <x v="34"/>
    <x v="36"/>
    <x v="2"/>
    <x v="2"/>
    <x v="2"/>
    <x v="0"/>
    <x v="7"/>
    <x v="3"/>
    <x v="5"/>
    <x v="2"/>
  </r>
  <r>
    <s v="TX500835"/>
    <x v="4"/>
    <x v="0"/>
    <n v="50.7"/>
    <n v="50.7"/>
    <x v="34"/>
    <x v="38"/>
    <x v="1"/>
    <x v="2"/>
    <x v="2"/>
    <x v="0"/>
    <x v="8"/>
    <x v="1"/>
    <x v="5"/>
    <x v="1"/>
  </r>
  <r>
    <s v="TX500836"/>
    <x v="18"/>
    <x v="0"/>
    <n v="39.5"/>
    <n v="39.5"/>
    <x v="34"/>
    <x v="36"/>
    <x v="1"/>
    <x v="4"/>
    <x v="1"/>
    <x v="0"/>
    <x v="8"/>
    <x v="3"/>
    <x v="5"/>
    <x v="1"/>
  </r>
  <r>
    <s v="TX500837"/>
    <x v="12"/>
    <x v="2"/>
    <n v="30.9"/>
    <n v="92.699999999999989"/>
    <x v="34"/>
    <x v="36"/>
    <x v="0"/>
    <x v="4"/>
    <x v="2"/>
    <x v="0"/>
    <x v="8"/>
    <x v="3"/>
    <x v="5"/>
    <x v="0"/>
  </r>
  <r>
    <s v="TX500838"/>
    <x v="1"/>
    <x v="3"/>
    <n v="36.4"/>
    <n v="254.79999999999998"/>
    <x v="34"/>
    <x v="31"/>
    <x v="2"/>
    <x v="0"/>
    <x v="2"/>
    <x v="0"/>
    <x v="8"/>
    <x v="2"/>
    <x v="5"/>
    <x v="2"/>
  </r>
  <r>
    <s v="TX500839"/>
    <x v="6"/>
    <x v="8"/>
    <n v="105.6"/>
    <n v="844.8"/>
    <x v="34"/>
    <x v="42"/>
    <x v="2"/>
    <x v="0"/>
    <x v="0"/>
    <x v="0"/>
    <x v="8"/>
    <x v="14"/>
    <x v="5"/>
    <x v="2"/>
  </r>
  <r>
    <s v="TX500840"/>
    <x v="8"/>
    <x v="1"/>
    <n v="22.1"/>
    <n v="44.2"/>
    <x v="34"/>
    <x v="36"/>
    <x v="2"/>
    <x v="0"/>
    <x v="2"/>
    <x v="0"/>
    <x v="17"/>
    <x v="3"/>
    <x v="5"/>
    <x v="2"/>
  </r>
  <r>
    <s v="TX500841"/>
    <x v="0"/>
    <x v="2"/>
    <n v="22.6"/>
    <n v="67.800000000000011"/>
    <x v="34"/>
    <x v="36"/>
    <x v="2"/>
    <x v="2"/>
    <x v="0"/>
    <x v="0"/>
    <x v="17"/>
    <x v="3"/>
    <x v="5"/>
    <x v="2"/>
  </r>
  <r>
    <s v="TX500842"/>
    <x v="10"/>
    <x v="13"/>
    <n v="26.3"/>
    <n v="157.80000000000001"/>
    <x v="34"/>
    <x v="32"/>
    <x v="2"/>
    <x v="2"/>
    <x v="0"/>
    <x v="0"/>
    <x v="9"/>
    <x v="7"/>
    <x v="5"/>
    <x v="2"/>
  </r>
  <r>
    <s v="TX500843"/>
    <x v="1"/>
    <x v="12"/>
    <n v="37.799999999999997"/>
    <n v="151.19999999999999"/>
    <x v="34"/>
    <x v="36"/>
    <x v="2"/>
    <x v="0"/>
    <x v="2"/>
    <x v="0"/>
    <x v="11"/>
    <x v="3"/>
    <x v="5"/>
    <x v="2"/>
  </r>
  <r>
    <s v="TX500844"/>
    <x v="6"/>
    <x v="14"/>
    <n v="96"/>
    <n v="1632"/>
    <x v="34"/>
    <x v="31"/>
    <x v="2"/>
    <x v="4"/>
    <x v="1"/>
    <x v="0"/>
    <x v="18"/>
    <x v="2"/>
    <x v="5"/>
    <x v="2"/>
  </r>
  <r>
    <s v="TX500845"/>
    <x v="1"/>
    <x v="0"/>
    <n v="83.6"/>
    <n v="83.6"/>
    <x v="34"/>
    <x v="31"/>
    <x v="2"/>
    <x v="2"/>
    <x v="1"/>
    <x v="0"/>
    <x v="19"/>
    <x v="2"/>
    <x v="5"/>
    <x v="2"/>
  </r>
  <r>
    <s v="TX500846"/>
    <x v="2"/>
    <x v="13"/>
    <n v="72.599999999999994"/>
    <n v="435.59999999999997"/>
    <x v="34"/>
    <x v="36"/>
    <x v="2"/>
    <x v="0"/>
    <x v="0"/>
    <x v="0"/>
    <x v="21"/>
    <x v="3"/>
    <x v="5"/>
    <x v="2"/>
  </r>
  <r>
    <s v="TX500847"/>
    <x v="5"/>
    <x v="28"/>
    <n v="69.099999999999994"/>
    <n v="1382"/>
    <x v="35"/>
    <x v="40"/>
    <x v="1"/>
    <x v="0"/>
    <x v="2"/>
    <x v="0"/>
    <x v="21"/>
    <x v="4"/>
    <x v="5"/>
    <x v="1"/>
  </r>
  <r>
    <s v="TX500848"/>
    <x v="4"/>
    <x v="1"/>
    <n v="22.6"/>
    <n v="45.2"/>
    <x v="35"/>
    <x v="31"/>
    <x v="2"/>
    <x v="1"/>
    <x v="2"/>
    <x v="0"/>
    <x v="21"/>
    <x v="1"/>
    <x v="5"/>
    <x v="2"/>
  </r>
  <r>
    <s v="TX500849"/>
    <x v="6"/>
    <x v="1"/>
    <n v="45.3"/>
    <n v="90.6"/>
    <x v="35"/>
    <x v="35"/>
    <x v="1"/>
    <x v="4"/>
    <x v="2"/>
    <x v="0"/>
    <x v="21"/>
    <x v="5"/>
    <x v="5"/>
    <x v="1"/>
  </r>
  <r>
    <s v="TX500850"/>
    <x v="2"/>
    <x v="1"/>
    <n v="115.1"/>
    <n v="230.2"/>
    <x v="35"/>
    <x v="38"/>
    <x v="2"/>
    <x v="1"/>
    <x v="0"/>
    <x v="0"/>
    <x v="1"/>
    <x v="3"/>
    <x v="5"/>
    <x v="2"/>
  </r>
  <r>
    <s v="TX500851"/>
    <x v="18"/>
    <x v="12"/>
    <n v="79"/>
    <n v="316"/>
    <x v="35"/>
    <x v="31"/>
    <x v="1"/>
    <x v="2"/>
    <x v="4"/>
    <x v="0"/>
    <x v="1"/>
    <x v="1"/>
    <x v="5"/>
    <x v="1"/>
  </r>
  <r>
    <s v="TX500852"/>
    <x v="6"/>
    <x v="9"/>
    <n v="52.8"/>
    <n v="264"/>
    <x v="35"/>
    <x v="38"/>
    <x v="2"/>
    <x v="0"/>
    <x v="0"/>
    <x v="0"/>
    <x v="42"/>
    <x v="3"/>
    <x v="5"/>
    <x v="2"/>
  </r>
  <r>
    <s v="TX500853"/>
    <x v="8"/>
    <x v="1"/>
    <n v="34.1"/>
    <n v="68.2"/>
    <x v="35"/>
    <x v="38"/>
    <x v="1"/>
    <x v="3"/>
    <x v="2"/>
    <x v="0"/>
    <x v="44"/>
    <x v="3"/>
    <x v="5"/>
    <x v="1"/>
  </r>
  <r>
    <s v="TX500854"/>
    <x v="6"/>
    <x v="9"/>
    <n v="107.9"/>
    <n v="539.5"/>
    <x v="35"/>
    <x v="36"/>
    <x v="2"/>
    <x v="0"/>
    <x v="2"/>
    <x v="0"/>
    <x v="50"/>
    <x v="7"/>
    <x v="5"/>
    <x v="2"/>
  </r>
  <r>
    <s v="TX500855"/>
    <x v="8"/>
    <x v="15"/>
    <n v="48.5"/>
    <n v="630.5"/>
    <x v="35"/>
    <x v="36"/>
    <x v="1"/>
    <x v="2"/>
    <x v="2"/>
    <x v="0"/>
    <x v="3"/>
    <x v="7"/>
    <x v="5"/>
    <x v="1"/>
  </r>
  <r>
    <s v="TX500856"/>
    <x v="5"/>
    <x v="2"/>
    <n v="34.700000000000003"/>
    <n v="104.10000000000001"/>
    <x v="35"/>
    <x v="38"/>
    <x v="0"/>
    <x v="4"/>
    <x v="1"/>
    <x v="0"/>
    <x v="3"/>
    <x v="3"/>
    <x v="5"/>
    <x v="0"/>
  </r>
  <r>
    <s v="TX500857"/>
    <x v="8"/>
    <x v="0"/>
    <n v="16.8"/>
    <n v="16.8"/>
    <x v="35"/>
    <x v="31"/>
    <x v="2"/>
    <x v="3"/>
    <x v="0"/>
    <x v="0"/>
    <x v="3"/>
    <x v="1"/>
    <x v="5"/>
    <x v="2"/>
  </r>
  <r>
    <s v="TX500858"/>
    <x v="8"/>
    <x v="13"/>
    <n v="18.3"/>
    <n v="109.80000000000001"/>
    <x v="35"/>
    <x v="39"/>
    <x v="2"/>
    <x v="0"/>
    <x v="0"/>
    <x v="0"/>
    <x v="3"/>
    <x v="2"/>
    <x v="5"/>
    <x v="2"/>
  </r>
  <r>
    <s v="TX500859"/>
    <x v="18"/>
    <x v="2"/>
    <n v="55.9"/>
    <n v="167.7"/>
    <x v="35"/>
    <x v="40"/>
    <x v="1"/>
    <x v="3"/>
    <x v="1"/>
    <x v="0"/>
    <x v="3"/>
    <x v="4"/>
    <x v="5"/>
    <x v="1"/>
  </r>
  <r>
    <s v="TX500860"/>
    <x v="8"/>
    <x v="2"/>
    <n v="39.200000000000003"/>
    <n v="117.60000000000001"/>
    <x v="35"/>
    <x v="31"/>
    <x v="2"/>
    <x v="0"/>
    <x v="1"/>
    <x v="0"/>
    <x v="3"/>
    <x v="1"/>
    <x v="5"/>
    <x v="2"/>
  </r>
  <r>
    <s v="TX500861"/>
    <x v="15"/>
    <x v="12"/>
    <n v="66.5"/>
    <n v="266"/>
    <x v="35"/>
    <x v="31"/>
    <x v="0"/>
    <x v="3"/>
    <x v="1"/>
    <x v="0"/>
    <x v="3"/>
    <x v="1"/>
    <x v="5"/>
    <x v="0"/>
  </r>
  <r>
    <s v="TX500862"/>
    <x v="6"/>
    <x v="13"/>
    <n v="52.1"/>
    <n v="312.60000000000002"/>
    <x v="35"/>
    <x v="31"/>
    <x v="1"/>
    <x v="1"/>
    <x v="1"/>
    <x v="0"/>
    <x v="16"/>
    <x v="1"/>
    <x v="5"/>
    <x v="1"/>
  </r>
  <r>
    <s v="TX500863"/>
    <x v="8"/>
    <x v="1"/>
    <n v="19"/>
    <n v="38"/>
    <x v="35"/>
    <x v="38"/>
    <x v="1"/>
    <x v="4"/>
    <x v="2"/>
    <x v="0"/>
    <x v="6"/>
    <x v="3"/>
    <x v="5"/>
    <x v="1"/>
  </r>
  <r>
    <s v="TX500864"/>
    <x v="7"/>
    <x v="2"/>
    <n v="84.8"/>
    <n v="254.39999999999998"/>
    <x v="35"/>
    <x v="31"/>
    <x v="2"/>
    <x v="2"/>
    <x v="0"/>
    <x v="0"/>
    <x v="8"/>
    <x v="1"/>
    <x v="5"/>
    <x v="2"/>
  </r>
  <r>
    <s v="TX500865"/>
    <x v="2"/>
    <x v="12"/>
    <n v="63.9"/>
    <n v="255.6"/>
    <x v="35"/>
    <x v="39"/>
    <x v="2"/>
    <x v="0"/>
    <x v="0"/>
    <x v="0"/>
    <x v="8"/>
    <x v="2"/>
    <x v="5"/>
    <x v="2"/>
  </r>
  <r>
    <s v="TX500866"/>
    <x v="2"/>
    <x v="2"/>
    <n v="65.5"/>
    <n v="196.5"/>
    <x v="35"/>
    <x v="36"/>
    <x v="2"/>
    <x v="1"/>
    <x v="1"/>
    <x v="0"/>
    <x v="8"/>
    <x v="7"/>
    <x v="5"/>
    <x v="2"/>
  </r>
  <r>
    <s v="TX500867"/>
    <x v="12"/>
    <x v="1"/>
    <n v="116.2"/>
    <n v="232.4"/>
    <x v="35"/>
    <x v="40"/>
    <x v="1"/>
    <x v="3"/>
    <x v="0"/>
    <x v="0"/>
    <x v="17"/>
    <x v="4"/>
    <x v="5"/>
    <x v="1"/>
  </r>
  <r>
    <s v="TX500868"/>
    <x v="10"/>
    <x v="12"/>
    <n v="22.9"/>
    <n v="91.6"/>
    <x v="35"/>
    <x v="31"/>
    <x v="2"/>
    <x v="2"/>
    <x v="1"/>
    <x v="0"/>
    <x v="38"/>
    <x v="1"/>
    <x v="5"/>
    <x v="2"/>
  </r>
  <r>
    <s v="TX500869"/>
    <x v="10"/>
    <x v="2"/>
    <n v="53.7"/>
    <n v="161.10000000000002"/>
    <x v="35"/>
    <x v="38"/>
    <x v="1"/>
    <x v="0"/>
    <x v="4"/>
    <x v="0"/>
    <x v="18"/>
    <x v="3"/>
    <x v="5"/>
    <x v="1"/>
  </r>
  <r>
    <s v="TX500870"/>
    <x v="6"/>
    <x v="9"/>
    <n v="43.2"/>
    <n v="216"/>
    <x v="35"/>
    <x v="31"/>
    <x v="2"/>
    <x v="0"/>
    <x v="0"/>
    <x v="0"/>
    <x v="19"/>
    <x v="1"/>
    <x v="5"/>
    <x v="2"/>
  </r>
  <r>
    <s v="TX500871"/>
    <x v="1"/>
    <x v="2"/>
    <n v="84.5"/>
    <n v="253.5"/>
    <x v="35"/>
    <x v="31"/>
    <x v="1"/>
    <x v="2"/>
    <x v="2"/>
    <x v="0"/>
    <x v="51"/>
    <x v="1"/>
    <x v="5"/>
    <x v="1"/>
  </r>
  <r>
    <s v="TX500872"/>
    <x v="3"/>
    <x v="1"/>
    <n v="42.2"/>
    <n v="84.4"/>
    <x v="35"/>
    <x v="38"/>
    <x v="2"/>
    <x v="1"/>
    <x v="2"/>
    <x v="0"/>
    <x v="1"/>
    <x v="3"/>
    <x v="5"/>
    <x v="2"/>
  </r>
  <r>
    <s v="TX500873"/>
    <x v="2"/>
    <x v="13"/>
    <n v="94.7"/>
    <n v="568.20000000000005"/>
    <x v="35"/>
    <x v="39"/>
    <x v="2"/>
    <x v="1"/>
    <x v="2"/>
    <x v="0"/>
    <x v="2"/>
    <x v="2"/>
    <x v="5"/>
    <x v="2"/>
  </r>
  <r>
    <s v="TX500874"/>
    <x v="8"/>
    <x v="16"/>
    <n v="16.7"/>
    <n v="300.59999999999997"/>
    <x v="35"/>
    <x v="43"/>
    <x v="2"/>
    <x v="0"/>
    <x v="2"/>
    <x v="0"/>
    <x v="2"/>
    <x v="13"/>
    <x v="5"/>
    <x v="2"/>
  </r>
  <r>
    <s v="TX500875"/>
    <x v="2"/>
    <x v="1"/>
    <n v="83.6"/>
    <n v="167.2"/>
    <x v="35"/>
    <x v="40"/>
    <x v="2"/>
    <x v="1"/>
    <x v="0"/>
    <x v="0"/>
    <x v="3"/>
    <x v="4"/>
    <x v="5"/>
    <x v="2"/>
  </r>
  <r>
    <s v="TX500876"/>
    <x v="7"/>
    <x v="13"/>
    <n v="33.6"/>
    <n v="201.60000000000002"/>
    <x v="36"/>
    <x v="31"/>
    <x v="2"/>
    <x v="3"/>
    <x v="0"/>
    <x v="0"/>
    <x v="3"/>
    <x v="3"/>
    <x v="5"/>
    <x v="2"/>
  </r>
  <r>
    <s v="TX500877"/>
    <x v="7"/>
    <x v="1"/>
    <n v="64.7"/>
    <n v="129.4"/>
    <x v="36"/>
    <x v="39"/>
    <x v="1"/>
    <x v="1"/>
    <x v="2"/>
    <x v="0"/>
    <x v="3"/>
    <x v="1"/>
    <x v="5"/>
    <x v="1"/>
  </r>
  <r>
    <s v="TX500878"/>
    <x v="0"/>
    <x v="2"/>
    <n v="15.7"/>
    <n v="47.099999999999994"/>
    <x v="36"/>
    <x v="44"/>
    <x v="2"/>
    <x v="0"/>
    <x v="0"/>
    <x v="0"/>
    <x v="3"/>
    <x v="4"/>
    <x v="5"/>
    <x v="2"/>
  </r>
  <r>
    <s v="TX500879"/>
    <x v="15"/>
    <x v="13"/>
    <n v="49.4"/>
    <n v="296.39999999999998"/>
    <x v="36"/>
    <x v="38"/>
    <x v="1"/>
    <x v="1"/>
    <x v="0"/>
    <x v="0"/>
    <x v="3"/>
    <x v="7"/>
    <x v="5"/>
    <x v="1"/>
  </r>
  <r>
    <s v="TX500880"/>
    <x v="10"/>
    <x v="13"/>
    <n v="37"/>
    <n v="222"/>
    <x v="36"/>
    <x v="35"/>
    <x v="2"/>
    <x v="1"/>
    <x v="2"/>
    <x v="0"/>
    <x v="3"/>
    <x v="2"/>
    <x v="5"/>
    <x v="2"/>
  </r>
  <r>
    <s v="TX500881"/>
    <x v="2"/>
    <x v="1"/>
    <n v="83.7"/>
    <n v="167.4"/>
    <x v="36"/>
    <x v="39"/>
    <x v="2"/>
    <x v="3"/>
    <x v="2"/>
    <x v="0"/>
    <x v="3"/>
    <x v="1"/>
    <x v="5"/>
    <x v="2"/>
  </r>
  <r>
    <s v="TX500882"/>
    <x v="1"/>
    <x v="9"/>
    <n v="35.1"/>
    <n v="175.5"/>
    <x v="36"/>
    <x v="31"/>
    <x v="2"/>
    <x v="0"/>
    <x v="0"/>
    <x v="0"/>
    <x v="3"/>
    <x v="3"/>
    <x v="5"/>
    <x v="2"/>
  </r>
  <r>
    <s v="TX500883"/>
    <x v="16"/>
    <x v="8"/>
    <n v="74"/>
    <n v="592"/>
    <x v="36"/>
    <x v="31"/>
    <x v="2"/>
    <x v="4"/>
    <x v="0"/>
    <x v="0"/>
    <x v="37"/>
    <x v="3"/>
    <x v="5"/>
    <x v="2"/>
  </r>
  <r>
    <s v="TX500884"/>
    <x v="6"/>
    <x v="25"/>
    <n v="55.5"/>
    <n v="1332"/>
    <x v="36"/>
    <x v="35"/>
    <x v="1"/>
    <x v="3"/>
    <x v="0"/>
    <x v="0"/>
    <x v="49"/>
    <x v="2"/>
    <x v="5"/>
    <x v="1"/>
  </r>
  <r>
    <s v="TX500885"/>
    <x v="11"/>
    <x v="1"/>
    <n v="38.9"/>
    <n v="77.8"/>
    <x v="36"/>
    <x v="39"/>
    <x v="2"/>
    <x v="1"/>
    <x v="2"/>
    <x v="0"/>
    <x v="25"/>
    <x v="1"/>
    <x v="5"/>
    <x v="2"/>
  </r>
  <r>
    <s v="TX500886"/>
    <x v="16"/>
    <x v="1"/>
    <n v="64.599999999999994"/>
    <n v="129.19999999999999"/>
    <x v="36"/>
    <x v="45"/>
    <x v="1"/>
    <x v="2"/>
    <x v="1"/>
    <x v="0"/>
    <x v="25"/>
    <x v="6"/>
    <x v="5"/>
    <x v="1"/>
  </r>
  <r>
    <s v="TX500887"/>
    <x v="2"/>
    <x v="2"/>
    <n v="95.3"/>
    <n v="285.89999999999998"/>
    <x v="36"/>
    <x v="31"/>
    <x v="1"/>
    <x v="0"/>
    <x v="0"/>
    <x v="0"/>
    <x v="5"/>
    <x v="3"/>
    <x v="5"/>
    <x v="1"/>
  </r>
  <r>
    <s v="TX500888"/>
    <x v="13"/>
    <x v="2"/>
    <n v="25.8"/>
    <n v="77.400000000000006"/>
    <x v="36"/>
    <x v="31"/>
    <x v="2"/>
    <x v="1"/>
    <x v="1"/>
    <x v="0"/>
    <x v="6"/>
    <x v="3"/>
    <x v="5"/>
    <x v="2"/>
  </r>
  <r>
    <s v="TX500889"/>
    <x v="0"/>
    <x v="1"/>
    <n v="11.6"/>
    <n v="23.2"/>
    <x v="36"/>
    <x v="37"/>
    <x v="2"/>
    <x v="1"/>
    <x v="1"/>
    <x v="0"/>
    <x v="6"/>
    <x v="5"/>
    <x v="5"/>
    <x v="2"/>
  </r>
  <r>
    <s v="TX500890"/>
    <x v="7"/>
    <x v="0"/>
    <n v="52.3"/>
    <n v="52.3"/>
    <x v="36"/>
    <x v="31"/>
    <x v="2"/>
    <x v="1"/>
    <x v="0"/>
    <x v="0"/>
    <x v="8"/>
    <x v="3"/>
    <x v="5"/>
    <x v="2"/>
  </r>
  <r>
    <s v="TX500891"/>
    <x v="2"/>
    <x v="7"/>
    <n v="112.2"/>
    <n v="1122"/>
    <x v="36"/>
    <x v="31"/>
    <x v="2"/>
    <x v="1"/>
    <x v="1"/>
    <x v="0"/>
    <x v="8"/>
    <x v="3"/>
    <x v="5"/>
    <x v="2"/>
  </r>
  <r>
    <s v="TX500892"/>
    <x v="4"/>
    <x v="9"/>
    <n v="34.6"/>
    <n v="173"/>
    <x v="36"/>
    <x v="39"/>
    <x v="1"/>
    <x v="2"/>
    <x v="0"/>
    <x v="0"/>
    <x v="8"/>
    <x v="1"/>
    <x v="5"/>
    <x v="1"/>
  </r>
  <r>
    <s v="TX500893"/>
    <x v="14"/>
    <x v="12"/>
    <n v="20.100000000000001"/>
    <n v="80.400000000000006"/>
    <x v="36"/>
    <x v="44"/>
    <x v="1"/>
    <x v="1"/>
    <x v="2"/>
    <x v="0"/>
    <x v="8"/>
    <x v="4"/>
    <x v="5"/>
    <x v="1"/>
  </r>
  <r>
    <s v="TX500894"/>
    <x v="2"/>
    <x v="12"/>
    <n v="56.4"/>
    <n v="225.6"/>
    <x v="36"/>
    <x v="39"/>
    <x v="2"/>
    <x v="2"/>
    <x v="0"/>
    <x v="0"/>
    <x v="10"/>
    <x v="1"/>
    <x v="5"/>
    <x v="2"/>
  </r>
  <r>
    <s v="TX500895"/>
    <x v="13"/>
    <x v="11"/>
    <n v="55.3"/>
    <n v="497.7"/>
    <x v="36"/>
    <x v="39"/>
    <x v="2"/>
    <x v="1"/>
    <x v="4"/>
    <x v="0"/>
    <x v="11"/>
    <x v="1"/>
    <x v="5"/>
    <x v="2"/>
  </r>
  <r>
    <s v="TX500896"/>
    <x v="2"/>
    <x v="31"/>
    <n v="75.5"/>
    <n v="2114"/>
    <x v="36"/>
    <x v="31"/>
    <x v="2"/>
    <x v="0"/>
    <x v="0"/>
    <x v="0"/>
    <x v="11"/>
    <x v="3"/>
    <x v="5"/>
    <x v="2"/>
  </r>
  <r>
    <s v="TX500897"/>
    <x v="8"/>
    <x v="0"/>
    <n v="23.6"/>
    <n v="23.6"/>
    <x v="36"/>
    <x v="40"/>
    <x v="2"/>
    <x v="0"/>
    <x v="0"/>
    <x v="0"/>
    <x v="19"/>
    <x v="0"/>
    <x v="5"/>
    <x v="2"/>
  </r>
  <r>
    <s v="TX500898"/>
    <x v="9"/>
    <x v="1"/>
    <n v="70.7"/>
    <n v="141.4"/>
    <x v="36"/>
    <x v="39"/>
    <x v="2"/>
    <x v="2"/>
    <x v="0"/>
    <x v="0"/>
    <x v="19"/>
    <x v="1"/>
    <x v="5"/>
    <x v="2"/>
  </r>
  <r>
    <s v="TX500899"/>
    <x v="12"/>
    <x v="1"/>
    <n v="43.2"/>
    <n v="86.4"/>
    <x v="36"/>
    <x v="31"/>
    <x v="2"/>
    <x v="2"/>
    <x v="0"/>
    <x v="0"/>
    <x v="31"/>
    <x v="3"/>
    <x v="5"/>
    <x v="2"/>
  </r>
  <r>
    <s v="TX500900"/>
    <x v="9"/>
    <x v="11"/>
    <n v="70"/>
    <n v="630"/>
    <x v="36"/>
    <x v="31"/>
    <x v="0"/>
    <x v="1"/>
    <x v="0"/>
    <x v="0"/>
    <x v="52"/>
    <x v="3"/>
    <x v="5"/>
    <x v="0"/>
  </r>
  <r>
    <s v="TX500901"/>
    <x v="0"/>
    <x v="1"/>
    <n v="20.5"/>
    <n v="41"/>
    <x v="36"/>
    <x v="39"/>
    <x v="2"/>
    <x v="2"/>
    <x v="4"/>
    <x v="0"/>
    <x v="13"/>
    <x v="1"/>
    <x v="5"/>
    <x v="2"/>
  </r>
  <r>
    <s v="TX500902"/>
    <x v="0"/>
    <x v="12"/>
    <n v="29.1"/>
    <n v="116.4"/>
    <x v="36"/>
    <x v="31"/>
    <x v="2"/>
    <x v="3"/>
    <x v="0"/>
    <x v="0"/>
    <x v="28"/>
    <x v="3"/>
    <x v="5"/>
    <x v="2"/>
  </r>
  <r>
    <s v="TX500903"/>
    <x v="6"/>
    <x v="11"/>
    <n v="53.6"/>
    <n v="482.40000000000003"/>
    <x v="36"/>
    <x v="31"/>
    <x v="1"/>
    <x v="2"/>
    <x v="1"/>
    <x v="0"/>
    <x v="3"/>
    <x v="3"/>
    <x v="5"/>
    <x v="1"/>
  </r>
  <r>
    <s v="TX500904"/>
    <x v="6"/>
    <x v="9"/>
    <n v="72.3"/>
    <n v="361.5"/>
    <x v="36"/>
    <x v="39"/>
    <x v="2"/>
    <x v="1"/>
    <x v="0"/>
    <x v="0"/>
    <x v="3"/>
    <x v="1"/>
    <x v="5"/>
    <x v="2"/>
  </r>
  <r>
    <s v="TX500905"/>
    <x v="13"/>
    <x v="12"/>
    <n v="22.6"/>
    <n v="90.4"/>
    <x v="36"/>
    <x v="35"/>
    <x v="3"/>
    <x v="0"/>
    <x v="1"/>
    <x v="0"/>
    <x v="3"/>
    <x v="2"/>
    <x v="5"/>
    <x v="3"/>
  </r>
  <r>
    <s v="TX500906"/>
    <x v="9"/>
    <x v="1"/>
    <n v="44.2"/>
    <n v="88.4"/>
    <x v="36"/>
    <x v="37"/>
    <x v="0"/>
    <x v="2"/>
    <x v="4"/>
    <x v="0"/>
    <x v="3"/>
    <x v="5"/>
    <x v="5"/>
    <x v="0"/>
  </r>
  <r>
    <s v="TX500907"/>
    <x v="9"/>
    <x v="2"/>
    <n v="94.1"/>
    <n v="282.29999999999995"/>
    <x v="36"/>
    <x v="46"/>
    <x v="2"/>
    <x v="2"/>
    <x v="2"/>
    <x v="0"/>
    <x v="3"/>
    <x v="10"/>
    <x v="5"/>
    <x v="2"/>
  </r>
  <r>
    <s v="TX500908"/>
    <x v="8"/>
    <x v="2"/>
    <n v="17.899999999999999"/>
    <n v="53.699999999999996"/>
    <x v="36"/>
    <x v="39"/>
    <x v="1"/>
    <x v="1"/>
    <x v="1"/>
    <x v="0"/>
    <x v="3"/>
    <x v="1"/>
    <x v="5"/>
    <x v="1"/>
  </r>
  <r>
    <s v="TX500909"/>
    <x v="12"/>
    <x v="3"/>
    <n v="52.7"/>
    <n v="368.90000000000003"/>
    <x v="36"/>
    <x v="31"/>
    <x v="1"/>
    <x v="1"/>
    <x v="1"/>
    <x v="0"/>
    <x v="3"/>
    <x v="3"/>
    <x v="5"/>
    <x v="1"/>
  </r>
  <r>
    <s v="TX500910"/>
    <x v="8"/>
    <x v="0"/>
    <n v="36.799999999999997"/>
    <n v="36.799999999999997"/>
    <x v="36"/>
    <x v="38"/>
    <x v="0"/>
    <x v="0"/>
    <x v="2"/>
    <x v="0"/>
    <x v="3"/>
    <x v="7"/>
    <x v="5"/>
    <x v="0"/>
  </r>
  <r>
    <s v="TX500911"/>
    <x v="4"/>
    <x v="0"/>
    <n v="52.5"/>
    <n v="52.5"/>
    <x v="36"/>
    <x v="31"/>
    <x v="1"/>
    <x v="0"/>
    <x v="1"/>
    <x v="0"/>
    <x v="6"/>
    <x v="3"/>
    <x v="5"/>
    <x v="1"/>
  </r>
  <r>
    <s v="TX500912"/>
    <x v="2"/>
    <x v="1"/>
    <n v="133.80000000000001"/>
    <n v="267.60000000000002"/>
    <x v="36"/>
    <x v="39"/>
    <x v="1"/>
    <x v="0"/>
    <x v="1"/>
    <x v="0"/>
    <x v="7"/>
    <x v="1"/>
    <x v="5"/>
    <x v="1"/>
  </r>
  <r>
    <s v="TX500913"/>
    <x v="6"/>
    <x v="1"/>
    <n v="53.2"/>
    <n v="106.4"/>
    <x v="36"/>
    <x v="39"/>
    <x v="1"/>
    <x v="0"/>
    <x v="0"/>
    <x v="0"/>
    <x v="17"/>
    <x v="1"/>
    <x v="5"/>
    <x v="1"/>
  </r>
  <r>
    <s v="TX500914"/>
    <x v="14"/>
    <x v="13"/>
    <n v="18.7"/>
    <n v="112.19999999999999"/>
    <x v="36"/>
    <x v="39"/>
    <x v="0"/>
    <x v="0"/>
    <x v="1"/>
    <x v="0"/>
    <x v="10"/>
    <x v="1"/>
    <x v="5"/>
    <x v="0"/>
  </r>
  <r>
    <s v="TX500915"/>
    <x v="6"/>
    <x v="12"/>
    <n v="108.8"/>
    <n v="435.2"/>
    <x v="36"/>
    <x v="31"/>
    <x v="2"/>
    <x v="3"/>
    <x v="2"/>
    <x v="0"/>
    <x v="11"/>
    <x v="3"/>
    <x v="5"/>
    <x v="2"/>
  </r>
  <r>
    <s v="TX500916"/>
    <x v="15"/>
    <x v="9"/>
    <n v="38.5"/>
    <n v="192.5"/>
    <x v="36"/>
    <x v="37"/>
    <x v="2"/>
    <x v="0"/>
    <x v="1"/>
    <x v="0"/>
    <x v="14"/>
    <x v="5"/>
    <x v="5"/>
    <x v="2"/>
  </r>
  <r>
    <s v="TX500917"/>
    <x v="10"/>
    <x v="7"/>
    <n v="46.5"/>
    <n v="465"/>
    <x v="36"/>
    <x v="39"/>
    <x v="1"/>
    <x v="2"/>
    <x v="1"/>
    <x v="0"/>
    <x v="2"/>
    <x v="1"/>
    <x v="5"/>
    <x v="1"/>
  </r>
  <r>
    <s v="TX500918"/>
    <x v="2"/>
    <x v="2"/>
    <n v="75.8"/>
    <n v="227.39999999999998"/>
    <x v="36"/>
    <x v="37"/>
    <x v="2"/>
    <x v="1"/>
    <x v="4"/>
    <x v="0"/>
    <x v="44"/>
    <x v="5"/>
    <x v="5"/>
    <x v="2"/>
  </r>
  <r>
    <s v="TX500919"/>
    <x v="8"/>
    <x v="0"/>
    <n v="20.9"/>
    <n v="20.9"/>
    <x v="36"/>
    <x v="37"/>
    <x v="1"/>
    <x v="0"/>
    <x v="0"/>
    <x v="0"/>
    <x v="22"/>
    <x v="5"/>
    <x v="5"/>
    <x v="1"/>
  </r>
  <r>
    <s v="TX500920"/>
    <x v="18"/>
    <x v="2"/>
    <n v="47.4"/>
    <n v="142.19999999999999"/>
    <x v="36"/>
    <x v="35"/>
    <x v="2"/>
    <x v="0"/>
    <x v="0"/>
    <x v="0"/>
    <x v="3"/>
    <x v="2"/>
    <x v="5"/>
    <x v="2"/>
  </r>
  <r>
    <s v="TX500921"/>
    <x v="9"/>
    <x v="1"/>
    <n v="53.8"/>
    <n v="107.6"/>
    <x v="36"/>
    <x v="31"/>
    <x v="0"/>
    <x v="0"/>
    <x v="1"/>
    <x v="0"/>
    <x v="3"/>
    <x v="3"/>
    <x v="5"/>
    <x v="0"/>
  </r>
  <r>
    <s v="TX500922"/>
    <x v="8"/>
    <x v="2"/>
    <n v="24.6"/>
    <n v="73.800000000000011"/>
    <x v="36"/>
    <x v="39"/>
    <x v="3"/>
    <x v="1"/>
    <x v="2"/>
    <x v="0"/>
    <x v="3"/>
    <x v="1"/>
    <x v="5"/>
    <x v="3"/>
  </r>
  <r>
    <s v="TX500923"/>
    <x v="9"/>
    <x v="2"/>
    <n v="70.900000000000006"/>
    <n v="212.70000000000002"/>
    <x v="36"/>
    <x v="40"/>
    <x v="2"/>
    <x v="2"/>
    <x v="2"/>
    <x v="0"/>
    <x v="3"/>
    <x v="0"/>
    <x v="5"/>
    <x v="2"/>
  </r>
  <r>
    <s v="TX500924"/>
    <x v="17"/>
    <x v="2"/>
    <n v="31.9"/>
    <n v="95.699999999999989"/>
    <x v="36"/>
    <x v="39"/>
    <x v="2"/>
    <x v="2"/>
    <x v="2"/>
    <x v="0"/>
    <x v="3"/>
    <x v="1"/>
    <x v="5"/>
    <x v="2"/>
  </r>
  <r>
    <s v="TX500925"/>
    <x v="0"/>
    <x v="1"/>
    <n v="20.399999999999999"/>
    <n v="40.799999999999997"/>
    <x v="36"/>
    <x v="37"/>
    <x v="1"/>
    <x v="3"/>
    <x v="2"/>
    <x v="0"/>
    <x v="3"/>
    <x v="5"/>
    <x v="5"/>
    <x v="1"/>
  </r>
  <r>
    <s v="TX500926"/>
    <x v="8"/>
    <x v="1"/>
    <n v="18.600000000000001"/>
    <n v="37.200000000000003"/>
    <x v="36"/>
    <x v="39"/>
    <x v="0"/>
    <x v="0"/>
    <x v="1"/>
    <x v="0"/>
    <x v="3"/>
    <x v="1"/>
    <x v="5"/>
    <x v="0"/>
  </r>
  <r>
    <s v="TX500927"/>
    <x v="4"/>
    <x v="9"/>
    <n v="48.3"/>
    <n v="241.5"/>
    <x v="36"/>
    <x v="39"/>
    <x v="2"/>
    <x v="1"/>
    <x v="0"/>
    <x v="0"/>
    <x v="3"/>
    <x v="1"/>
    <x v="5"/>
    <x v="2"/>
  </r>
  <r>
    <s v="TX500928"/>
    <x v="0"/>
    <x v="12"/>
    <n v="27.7"/>
    <n v="110.8"/>
    <x v="36"/>
    <x v="39"/>
    <x v="2"/>
    <x v="0"/>
    <x v="0"/>
    <x v="0"/>
    <x v="3"/>
    <x v="1"/>
    <x v="5"/>
    <x v="2"/>
  </r>
  <r>
    <s v="TX500929"/>
    <x v="4"/>
    <x v="9"/>
    <n v="22.5"/>
    <n v="112.5"/>
    <x v="36"/>
    <x v="39"/>
    <x v="2"/>
    <x v="4"/>
    <x v="2"/>
    <x v="0"/>
    <x v="3"/>
    <x v="1"/>
    <x v="5"/>
    <x v="2"/>
  </r>
  <r>
    <s v="TX500930"/>
    <x v="17"/>
    <x v="9"/>
    <n v="21.6"/>
    <n v="108"/>
    <x v="36"/>
    <x v="42"/>
    <x v="2"/>
    <x v="0"/>
    <x v="1"/>
    <x v="0"/>
    <x v="3"/>
    <x v="9"/>
    <x v="5"/>
    <x v="2"/>
  </r>
  <r>
    <s v="TX500931"/>
    <x v="10"/>
    <x v="3"/>
    <n v="26.3"/>
    <n v="184.1"/>
    <x v="36"/>
    <x v="38"/>
    <x v="2"/>
    <x v="2"/>
    <x v="1"/>
    <x v="0"/>
    <x v="3"/>
    <x v="7"/>
    <x v="5"/>
    <x v="2"/>
  </r>
  <r>
    <s v="TX500932"/>
    <x v="6"/>
    <x v="3"/>
    <n v="103"/>
    <n v="721"/>
    <x v="37"/>
    <x v="39"/>
    <x v="1"/>
    <x v="0"/>
    <x v="2"/>
    <x v="0"/>
    <x v="6"/>
    <x v="3"/>
    <x v="5"/>
    <x v="1"/>
  </r>
  <r>
    <s v="TX500933"/>
    <x v="5"/>
    <x v="20"/>
    <n v="46.6"/>
    <n v="699"/>
    <x v="37"/>
    <x v="39"/>
    <x v="2"/>
    <x v="0"/>
    <x v="1"/>
    <x v="0"/>
    <x v="6"/>
    <x v="3"/>
    <x v="5"/>
    <x v="2"/>
  </r>
  <r>
    <s v="TX500934"/>
    <x v="0"/>
    <x v="9"/>
    <n v="32.200000000000003"/>
    <n v="161"/>
    <x v="37"/>
    <x v="37"/>
    <x v="2"/>
    <x v="0"/>
    <x v="2"/>
    <x v="0"/>
    <x v="36"/>
    <x v="2"/>
    <x v="5"/>
    <x v="2"/>
  </r>
  <r>
    <s v="TX500935"/>
    <x v="8"/>
    <x v="2"/>
    <n v="22"/>
    <n v="66"/>
    <x v="37"/>
    <x v="42"/>
    <x v="1"/>
    <x v="1"/>
    <x v="0"/>
    <x v="0"/>
    <x v="7"/>
    <x v="6"/>
    <x v="5"/>
    <x v="1"/>
  </r>
  <r>
    <s v="TX500936"/>
    <x v="0"/>
    <x v="1"/>
    <n v="25.2"/>
    <n v="50.4"/>
    <x v="37"/>
    <x v="40"/>
    <x v="2"/>
    <x v="0"/>
    <x v="0"/>
    <x v="0"/>
    <x v="7"/>
    <x v="5"/>
    <x v="5"/>
    <x v="2"/>
  </r>
  <r>
    <s v="TX500937"/>
    <x v="1"/>
    <x v="13"/>
    <n v="68.7"/>
    <n v="412.20000000000005"/>
    <x v="37"/>
    <x v="35"/>
    <x v="1"/>
    <x v="4"/>
    <x v="0"/>
    <x v="0"/>
    <x v="8"/>
    <x v="1"/>
    <x v="5"/>
    <x v="1"/>
  </r>
  <r>
    <s v="TX500938"/>
    <x v="0"/>
    <x v="2"/>
    <n v="22.2"/>
    <n v="66.599999999999994"/>
    <x v="37"/>
    <x v="37"/>
    <x v="1"/>
    <x v="2"/>
    <x v="2"/>
    <x v="0"/>
    <x v="8"/>
    <x v="2"/>
    <x v="5"/>
    <x v="1"/>
  </r>
  <r>
    <s v="TX500939"/>
    <x v="1"/>
    <x v="3"/>
    <n v="36"/>
    <n v="252"/>
    <x v="37"/>
    <x v="39"/>
    <x v="2"/>
    <x v="1"/>
    <x v="0"/>
    <x v="0"/>
    <x v="8"/>
    <x v="3"/>
    <x v="5"/>
    <x v="2"/>
  </r>
  <r>
    <s v="TX500940"/>
    <x v="18"/>
    <x v="0"/>
    <n v="50.6"/>
    <n v="50.6"/>
    <x v="37"/>
    <x v="35"/>
    <x v="2"/>
    <x v="0"/>
    <x v="1"/>
    <x v="0"/>
    <x v="8"/>
    <x v="1"/>
    <x v="5"/>
    <x v="2"/>
  </r>
  <r>
    <s v="TX500941"/>
    <x v="15"/>
    <x v="1"/>
    <n v="44.9"/>
    <n v="89.8"/>
    <x v="37"/>
    <x v="35"/>
    <x v="1"/>
    <x v="0"/>
    <x v="1"/>
    <x v="0"/>
    <x v="8"/>
    <x v="1"/>
    <x v="5"/>
    <x v="1"/>
  </r>
  <r>
    <s v="TX500942"/>
    <x v="6"/>
    <x v="2"/>
    <n v="71.599999999999994"/>
    <n v="214.79999999999998"/>
    <x v="37"/>
    <x v="40"/>
    <x v="1"/>
    <x v="1"/>
    <x v="2"/>
    <x v="0"/>
    <x v="10"/>
    <x v="5"/>
    <x v="5"/>
    <x v="1"/>
  </r>
  <r>
    <s v="TX500943"/>
    <x v="6"/>
    <x v="13"/>
    <n v="51.5"/>
    <n v="309"/>
    <x v="37"/>
    <x v="35"/>
    <x v="0"/>
    <x v="4"/>
    <x v="0"/>
    <x v="0"/>
    <x v="11"/>
    <x v="1"/>
    <x v="5"/>
    <x v="0"/>
  </r>
  <r>
    <s v="TX500944"/>
    <x v="7"/>
    <x v="9"/>
    <n v="55.5"/>
    <n v="277.5"/>
    <x v="37"/>
    <x v="39"/>
    <x v="1"/>
    <x v="1"/>
    <x v="1"/>
    <x v="0"/>
    <x v="11"/>
    <x v="3"/>
    <x v="5"/>
    <x v="1"/>
  </r>
  <r>
    <s v="TX500945"/>
    <x v="6"/>
    <x v="0"/>
    <n v="51.7"/>
    <n v="51.7"/>
    <x v="37"/>
    <x v="47"/>
    <x v="1"/>
    <x v="2"/>
    <x v="0"/>
    <x v="0"/>
    <x v="19"/>
    <x v="12"/>
    <x v="5"/>
    <x v="1"/>
  </r>
  <r>
    <s v="TX500946"/>
    <x v="8"/>
    <x v="38"/>
    <n v="45.5"/>
    <n v="955.5"/>
    <x v="37"/>
    <x v="39"/>
    <x v="2"/>
    <x v="3"/>
    <x v="2"/>
    <x v="0"/>
    <x v="19"/>
    <x v="3"/>
    <x v="5"/>
    <x v="2"/>
  </r>
  <r>
    <s v="TX500947"/>
    <x v="8"/>
    <x v="1"/>
    <n v="33.799999999999997"/>
    <n v="67.599999999999994"/>
    <x v="37"/>
    <x v="45"/>
    <x v="2"/>
    <x v="3"/>
    <x v="0"/>
    <x v="0"/>
    <x v="20"/>
    <x v="4"/>
    <x v="5"/>
    <x v="2"/>
  </r>
  <r>
    <s v="TX500948"/>
    <x v="3"/>
    <x v="2"/>
    <n v="76.5"/>
    <n v="229.5"/>
    <x v="37"/>
    <x v="39"/>
    <x v="2"/>
    <x v="0"/>
    <x v="1"/>
    <x v="0"/>
    <x v="21"/>
    <x v="3"/>
    <x v="5"/>
    <x v="2"/>
  </r>
  <r>
    <s v="TX500949"/>
    <x v="9"/>
    <x v="2"/>
    <n v="42.6"/>
    <n v="127.80000000000001"/>
    <x v="37"/>
    <x v="45"/>
    <x v="2"/>
    <x v="2"/>
    <x v="2"/>
    <x v="0"/>
    <x v="2"/>
    <x v="4"/>
    <x v="5"/>
    <x v="2"/>
  </r>
  <r>
    <s v="TX500950"/>
    <x v="6"/>
    <x v="2"/>
    <n v="44.1"/>
    <n v="132.30000000000001"/>
    <x v="37"/>
    <x v="35"/>
    <x v="2"/>
    <x v="1"/>
    <x v="1"/>
    <x v="0"/>
    <x v="22"/>
    <x v="1"/>
    <x v="5"/>
    <x v="2"/>
  </r>
  <r>
    <s v="TX500951"/>
    <x v="8"/>
    <x v="1"/>
    <n v="40.9"/>
    <n v="81.8"/>
    <x v="37"/>
    <x v="40"/>
    <x v="1"/>
    <x v="0"/>
    <x v="0"/>
    <x v="0"/>
    <x v="3"/>
    <x v="5"/>
    <x v="5"/>
    <x v="1"/>
  </r>
  <r>
    <s v="TX500952"/>
    <x v="9"/>
    <x v="2"/>
    <n v="49.1"/>
    <n v="147.30000000000001"/>
    <x v="37"/>
    <x v="40"/>
    <x v="2"/>
    <x v="3"/>
    <x v="1"/>
    <x v="0"/>
    <x v="3"/>
    <x v="5"/>
    <x v="5"/>
    <x v="2"/>
  </r>
  <r>
    <s v="TX500953"/>
    <x v="18"/>
    <x v="0"/>
    <n v="85.3"/>
    <n v="85.3"/>
    <x v="37"/>
    <x v="40"/>
    <x v="1"/>
    <x v="1"/>
    <x v="1"/>
    <x v="0"/>
    <x v="3"/>
    <x v="5"/>
    <x v="5"/>
    <x v="1"/>
  </r>
  <r>
    <s v="TX500954"/>
    <x v="6"/>
    <x v="12"/>
    <n v="43.1"/>
    <n v="172.4"/>
    <x v="38"/>
    <x v="40"/>
    <x v="1"/>
    <x v="0"/>
    <x v="0"/>
    <x v="0"/>
    <x v="3"/>
    <x v="2"/>
    <x v="5"/>
    <x v="1"/>
  </r>
  <r>
    <s v="TX500955"/>
    <x v="4"/>
    <x v="12"/>
    <n v="46.2"/>
    <n v="184.8"/>
    <x v="38"/>
    <x v="35"/>
    <x v="1"/>
    <x v="2"/>
    <x v="0"/>
    <x v="0"/>
    <x v="3"/>
    <x v="3"/>
    <x v="5"/>
    <x v="1"/>
  </r>
  <r>
    <s v="TX500956"/>
    <x v="1"/>
    <x v="0"/>
    <n v="74.400000000000006"/>
    <n v="74.400000000000006"/>
    <x v="38"/>
    <x v="37"/>
    <x v="1"/>
    <x v="4"/>
    <x v="2"/>
    <x v="0"/>
    <x v="3"/>
    <x v="1"/>
    <x v="5"/>
    <x v="1"/>
  </r>
  <r>
    <s v="TX500957"/>
    <x v="17"/>
    <x v="1"/>
    <n v="51.2"/>
    <n v="102.4"/>
    <x v="38"/>
    <x v="35"/>
    <x v="1"/>
    <x v="1"/>
    <x v="0"/>
    <x v="0"/>
    <x v="3"/>
    <x v="3"/>
    <x v="5"/>
    <x v="1"/>
  </r>
  <r>
    <s v="TX500958"/>
    <x v="14"/>
    <x v="12"/>
    <n v="11.8"/>
    <n v="47.2"/>
    <x v="38"/>
    <x v="39"/>
    <x v="1"/>
    <x v="2"/>
    <x v="0"/>
    <x v="0"/>
    <x v="3"/>
    <x v="7"/>
    <x v="5"/>
    <x v="1"/>
  </r>
  <r>
    <s v="TX500959"/>
    <x v="10"/>
    <x v="6"/>
    <n v="40.799999999999997"/>
    <n v="1101.5999999999999"/>
    <x v="38"/>
    <x v="35"/>
    <x v="2"/>
    <x v="3"/>
    <x v="2"/>
    <x v="0"/>
    <x v="3"/>
    <x v="3"/>
    <x v="5"/>
    <x v="2"/>
  </r>
  <r>
    <s v="TX500960"/>
    <x v="8"/>
    <x v="0"/>
    <n v="24.7"/>
    <n v="24.7"/>
    <x v="38"/>
    <x v="37"/>
    <x v="2"/>
    <x v="2"/>
    <x v="1"/>
    <x v="0"/>
    <x v="3"/>
    <x v="1"/>
    <x v="5"/>
    <x v="2"/>
  </r>
  <r>
    <s v="TX500961"/>
    <x v="8"/>
    <x v="3"/>
    <n v="22.1"/>
    <n v="154.70000000000002"/>
    <x v="38"/>
    <x v="39"/>
    <x v="2"/>
    <x v="2"/>
    <x v="4"/>
    <x v="0"/>
    <x v="3"/>
    <x v="7"/>
    <x v="5"/>
    <x v="2"/>
  </r>
  <r>
    <s v="TX500962"/>
    <x v="8"/>
    <x v="0"/>
    <n v="18.100000000000001"/>
    <n v="18.100000000000001"/>
    <x v="38"/>
    <x v="44"/>
    <x v="1"/>
    <x v="3"/>
    <x v="2"/>
    <x v="0"/>
    <x v="3"/>
    <x v="5"/>
    <x v="5"/>
    <x v="1"/>
  </r>
  <r>
    <s v="TX500963"/>
    <x v="17"/>
    <x v="1"/>
    <n v="58.8"/>
    <n v="117.6"/>
    <x v="38"/>
    <x v="40"/>
    <x v="2"/>
    <x v="0"/>
    <x v="0"/>
    <x v="0"/>
    <x v="25"/>
    <x v="2"/>
    <x v="5"/>
    <x v="2"/>
  </r>
  <r>
    <s v="TX500964"/>
    <x v="18"/>
    <x v="1"/>
    <n v="30.8"/>
    <n v="61.6"/>
    <x v="38"/>
    <x v="35"/>
    <x v="2"/>
    <x v="0"/>
    <x v="0"/>
    <x v="0"/>
    <x v="6"/>
    <x v="3"/>
    <x v="5"/>
    <x v="2"/>
  </r>
  <r>
    <s v="TX500965"/>
    <x v="0"/>
    <x v="1"/>
    <n v="12"/>
    <n v="24"/>
    <x v="38"/>
    <x v="44"/>
    <x v="2"/>
    <x v="0"/>
    <x v="0"/>
    <x v="0"/>
    <x v="6"/>
    <x v="5"/>
    <x v="5"/>
    <x v="2"/>
  </r>
  <r>
    <s v="TX500966"/>
    <x v="0"/>
    <x v="12"/>
    <n v="13.6"/>
    <n v="54.4"/>
    <x v="38"/>
    <x v="40"/>
    <x v="1"/>
    <x v="2"/>
    <x v="0"/>
    <x v="0"/>
    <x v="6"/>
    <x v="2"/>
    <x v="5"/>
    <x v="1"/>
  </r>
  <r>
    <s v="TX500967"/>
    <x v="0"/>
    <x v="0"/>
    <n v="17.899999999999999"/>
    <n v="17.899999999999999"/>
    <x v="38"/>
    <x v="35"/>
    <x v="1"/>
    <x v="3"/>
    <x v="0"/>
    <x v="0"/>
    <x v="6"/>
    <x v="3"/>
    <x v="5"/>
    <x v="1"/>
  </r>
  <r>
    <s v="TX500968"/>
    <x v="9"/>
    <x v="1"/>
    <n v="38.6"/>
    <n v="77.2"/>
    <x v="38"/>
    <x v="44"/>
    <x v="2"/>
    <x v="4"/>
    <x v="0"/>
    <x v="0"/>
    <x v="7"/>
    <x v="5"/>
    <x v="5"/>
    <x v="2"/>
  </r>
  <r>
    <s v="TX500969"/>
    <x v="5"/>
    <x v="9"/>
    <n v="32.700000000000003"/>
    <n v="163.5"/>
    <x v="38"/>
    <x v="35"/>
    <x v="1"/>
    <x v="2"/>
    <x v="2"/>
    <x v="0"/>
    <x v="8"/>
    <x v="3"/>
    <x v="5"/>
    <x v="1"/>
  </r>
  <r>
    <s v="TX500970"/>
    <x v="3"/>
    <x v="1"/>
    <n v="111.4"/>
    <n v="222.8"/>
    <x v="38"/>
    <x v="35"/>
    <x v="2"/>
    <x v="1"/>
    <x v="0"/>
    <x v="0"/>
    <x v="8"/>
    <x v="3"/>
    <x v="5"/>
    <x v="2"/>
  </r>
  <r>
    <s v="TX500971"/>
    <x v="2"/>
    <x v="13"/>
    <n v="80.3"/>
    <n v="481.79999999999995"/>
    <x v="38"/>
    <x v="37"/>
    <x v="2"/>
    <x v="1"/>
    <x v="0"/>
    <x v="0"/>
    <x v="8"/>
    <x v="1"/>
    <x v="5"/>
    <x v="2"/>
  </r>
  <r>
    <s v="TX500972"/>
    <x v="6"/>
    <x v="1"/>
    <n v="58.9"/>
    <n v="117.8"/>
    <x v="38"/>
    <x v="35"/>
    <x v="1"/>
    <x v="1"/>
    <x v="0"/>
    <x v="0"/>
    <x v="8"/>
    <x v="3"/>
    <x v="5"/>
    <x v="1"/>
  </r>
  <r>
    <s v="TX500973"/>
    <x v="6"/>
    <x v="2"/>
    <n v="51.9"/>
    <n v="155.69999999999999"/>
    <x v="38"/>
    <x v="37"/>
    <x v="2"/>
    <x v="1"/>
    <x v="4"/>
    <x v="0"/>
    <x v="8"/>
    <x v="1"/>
    <x v="5"/>
    <x v="2"/>
  </r>
  <r>
    <s v="TX500974"/>
    <x v="2"/>
    <x v="2"/>
    <n v="50.3"/>
    <n v="150.89999999999998"/>
    <x v="38"/>
    <x v="35"/>
    <x v="1"/>
    <x v="2"/>
    <x v="0"/>
    <x v="0"/>
    <x v="17"/>
    <x v="3"/>
    <x v="5"/>
    <x v="1"/>
  </r>
  <r>
    <s v="TX500975"/>
    <x v="11"/>
    <x v="13"/>
    <n v="45"/>
    <n v="270"/>
    <x v="38"/>
    <x v="42"/>
    <x v="2"/>
    <x v="3"/>
    <x v="0"/>
    <x v="0"/>
    <x v="9"/>
    <x v="4"/>
    <x v="5"/>
    <x v="2"/>
  </r>
  <r>
    <s v="TX500976"/>
    <x v="10"/>
    <x v="13"/>
    <n v="44.7"/>
    <n v="268.20000000000005"/>
    <x v="38"/>
    <x v="37"/>
    <x v="2"/>
    <x v="2"/>
    <x v="0"/>
    <x v="0"/>
    <x v="11"/>
    <x v="1"/>
    <x v="5"/>
    <x v="2"/>
  </r>
  <r>
    <s v="TX500977"/>
    <x v="18"/>
    <x v="20"/>
    <n v="33"/>
    <n v="495"/>
    <x v="38"/>
    <x v="35"/>
    <x v="2"/>
    <x v="2"/>
    <x v="0"/>
    <x v="0"/>
    <x v="11"/>
    <x v="3"/>
    <x v="5"/>
    <x v="2"/>
  </r>
  <r>
    <s v="TX500978"/>
    <x v="1"/>
    <x v="9"/>
    <n v="44.9"/>
    <n v="224.5"/>
    <x v="38"/>
    <x v="40"/>
    <x v="2"/>
    <x v="2"/>
    <x v="2"/>
    <x v="0"/>
    <x v="18"/>
    <x v="2"/>
    <x v="5"/>
    <x v="2"/>
  </r>
  <r>
    <s v="TX500979"/>
    <x v="10"/>
    <x v="1"/>
    <n v="34.6"/>
    <n v="69.2"/>
    <x v="38"/>
    <x v="44"/>
    <x v="2"/>
    <x v="0"/>
    <x v="1"/>
    <x v="0"/>
    <x v="19"/>
    <x v="5"/>
    <x v="5"/>
    <x v="2"/>
  </r>
  <r>
    <s v="TX500980"/>
    <x v="7"/>
    <x v="3"/>
    <n v="47.1"/>
    <n v="329.7"/>
    <x v="38"/>
    <x v="45"/>
    <x v="2"/>
    <x v="0"/>
    <x v="0"/>
    <x v="0"/>
    <x v="13"/>
    <x v="0"/>
    <x v="5"/>
    <x v="2"/>
  </r>
  <r>
    <s v="TX500981"/>
    <x v="4"/>
    <x v="9"/>
    <n v="26.1"/>
    <n v="130.5"/>
    <x v="38"/>
    <x v="45"/>
    <x v="1"/>
    <x v="0"/>
    <x v="2"/>
    <x v="0"/>
    <x v="21"/>
    <x v="0"/>
    <x v="5"/>
    <x v="1"/>
  </r>
  <r>
    <s v="TX500982"/>
    <x v="12"/>
    <x v="9"/>
    <n v="66.8"/>
    <n v="334"/>
    <x v="38"/>
    <x v="40"/>
    <x v="2"/>
    <x v="0"/>
    <x v="0"/>
    <x v="0"/>
    <x v="21"/>
    <x v="2"/>
    <x v="5"/>
    <x v="2"/>
  </r>
  <r>
    <s v="TX500983"/>
    <x v="2"/>
    <x v="1"/>
    <n v="167.9"/>
    <n v="335.8"/>
    <x v="38"/>
    <x v="35"/>
    <x v="2"/>
    <x v="3"/>
    <x v="2"/>
    <x v="0"/>
    <x v="21"/>
    <x v="3"/>
    <x v="5"/>
    <x v="2"/>
  </r>
  <r>
    <s v="TX500984"/>
    <x v="10"/>
    <x v="11"/>
    <n v="34.6"/>
    <n v="311.40000000000003"/>
    <x v="38"/>
    <x v="35"/>
    <x v="2"/>
    <x v="2"/>
    <x v="1"/>
    <x v="0"/>
    <x v="21"/>
    <x v="3"/>
    <x v="5"/>
    <x v="2"/>
  </r>
  <r>
    <s v="TX500985"/>
    <x v="8"/>
    <x v="2"/>
    <n v="35.1"/>
    <n v="105.30000000000001"/>
    <x v="39"/>
    <x v="45"/>
    <x v="1"/>
    <x v="4"/>
    <x v="2"/>
    <x v="0"/>
    <x v="1"/>
    <x v="5"/>
    <x v="6"/>
    <x v="1"/>
  </r>
  <r>
    <s v="TX500986"/>
    <x v="6"/>
    <x v="12"/>
    <n v="104.5"/>
    <n v="418"/>
    <x v="39"/>
    <x v="37"/>
    <x v="1"/>
    <x v="1"/>
    <x v="1"/>
    <x v="0"/>
    <x v="1"/>
    <x v="3"/>
    <x v="6"/>
    <x v="1"/>
  </r>
  <r>
    <s v="TX500987"/>
    <x v="8"/>
    <x v="0"/>
    <n v="37.9"/>
    <n v="37.9"/>
    <x v="39"/>
    <x v="40"/>
    <x v="0"/>
    <x v="1"/>
    <x v="2"/>
    <x v="0"/>
    <x v="2"/>
    <x v="1"/>
    <x v="6"/>
    <x v="0"/>
  </r>
  <r>
    <s v="TX500988"/>
    <x v="4"/>
    <x v="2"/>
    <n v="25.5"/>
    <n v="76.5"/>
    <x v="39"/>
    <x v="44"/>
    <x v="1"/>
    <x v="3"/>
    <x v="0"/>
    <x v="0"/>
    <x v="2"/>
    <x v="2"/>
    <x v="6"/>
    <x v="1"/>
  </r>
  <r>
    <s v="TX500989"/>
    <x v="0"/>
    <x v="2"/>
    <n v="32"/>
    <n v="96"/>
    <x v="39"/>
    <x v="45"/>
    <x v="2"/>
    <x v="1"/>
    <x v="0"/>
    <x v="0"/>
    <x v="22"/>
    <x v="5"/>
    <x v="6"/>
    <x v="2"/>
  </r>
  <r>
    <s v="TX500990"/>
    <x v="1"/>
    <x v="0"/>
    <n v="47.1"/>
    <n v="47.1"/>
    <x v="39"/>
    <x v="37"/>
    <x v="2"/>
    <x v="0"/>
    <x v="0"/>
    <x v="0"/>
    <x v="34"/>
    <x v="3"/>
    <x v="6"/>
    <x v="2"/>
  </r>
  <r>
    <s v="TX500991"/>
    <x v="6"/>
    <x v="1"/>
    <n v="50.6"/>
    <n v="101.2"/>
    <x v="39"/>
    <x v="48"/>
    <x v="0"/>
    <x v="0"/>
    <x v="0"/>
    <x v="0"/>
    <x v="3"/>
    <x v="4"/>
    <x v="6"/>
    <x v="0"/>
  </r>
  <r>
    <s v="TX500992"/>
    <x v="6"/>
    <x v="9"/>
    <n v="81.7"/>
    <n v="408.5"/>
    <x v="39"/>
    <x v="37"/>
    <x v="2"/>
    <x v="1"/>
    <x v="2"/>
    <x v="0"/>
    <x v="3"/>
    <x v="3"/>
    <x v="6"/>
    <x v="2"/>
  </r>
  <r>
    <s v="TX500993"/>
    <x v="5"/>
    <x v="1"/>
    <n v="50.7"/>
    <n v="101.4"/>
    <x v="39"/>
    <x v="37"/>
    <x v="3"/>
    <x v="2"/>
    <x v="2"/>
    <x v="0"/>
    <x v="3"/>
    <x v="3"/>
    <x v="6"/>
    <x v="3"/>
  </r>
  <r>
    <s v="TX500994"/>
    <x v="2"/>
    <x v="10"/>
    <n v="67.3"/>
    <n v="1278.7"/>
    <x v="39"/>
    <x v="45"/>
    <x v="2"/>
    <x v="2"/>
    <x v="0"/>
    <x v="0"/>
    <x v="3"/>
    <x v="5"/>
    <x v="6"/>
    <x v="2"/>
  </r>
  <r>
    <s v="TX500995"/>
    <x v="2"/>
    <x v="12"/>
    <n v="64.8"/>
    <n v="259.2"/>
    <x v="39"/>
    <x v="44"/>
    <x v="2"/>
    <x v="3"/>
    <x v="0"/>
    <x v="0"/>
    <x v="3"/>
    <x v="2"/>
    <x v="6"/>
    <x v="2"/>
  </r>
  <r>
    <s v="TX500996"/>
    <x v="5"/>
    <x v="32"/>
    <n v="61.3"/>
    <n v="1348.6"/>
    <x v="39"/>
    <x v="37"/>
    <x v="2"/>
    <x v="0"/>
    <x v="2"/>
    <x v="0"/>
    <x v="3"/>
    <x v="3"/>
    <x v="6"/>
    <x v="2"/>
  </r>
  <r>
    <s v="TX500997"/>
    <x v="14"/>
    <x v="0"/>
    <n v="32.9"/>
    <n v="32.9"/>
    <x v="39"/>
    <x v="44"/>
    <x v="2"/>
    <x v="4"/>
    <x v="0"/>
    <x v="0"/>
    <x v="3"/>
    <x v="2"/>
    <x v="6"/>
    <x v="2"/>
  </r>
  <r>
    <s v="TX500998"/>
    <x v="6"/>
    <x v="1"/>
    <n v="100.8"/>
    <n v="201.6"/>
    <x v="39"/>
    <x v="44"/>
    <x v="2"/>
    <x v="0"/>
    <x v="0"/>
    <x v="0"/>
    <x v="3"/>
    <x v="2"/>
    <x v="6"/>
    <x v="2"/>
  </r>
  <r>
    <s v="TX500999"/>
    <x v="8"/>
    <x v="12"/>
    <n v="25.1"/>
    <n v="100.4"/>
    <x v="39"/>
    <x v="40"/>
    <x v="2"/>
    <x v="1"/>
    <x v="0"/>
    <x v="0"/>
    <x v="3"/>
    <x v="1"/>
    <x v="6"/>
    <x v="2"/>
  </r>
  <r>
    <s v="TX501000"/>
    <x v="17"/>
    <x v="0"/>
    <n v="48.5"/>
    <n v="48.5"/>
    <x v="39"/>
    <x v="37"/>
    <x v="2"/>
    <x v="0"/>
    <x v="1"/>
    <x v="0"/>
    <x v="3"/>
    <x v="3"/>
    <x v="6"/>
    <x v="2"/>
  </r>
  <r>
    <s v="TX501001"/>
    <x v="7"/>
    <x v="1"/>
    <n v="33.6"/>
    <n v="67.2"/>
    <x v="39"/>
    <x v="45"/>
    <x v="2"/>
    <x v="2"/>
    <x v="2"/>
    <x v="0"/>
    <x v="3"/>
    <x v="5"/>
    <x v="6"/>
    <x v="2"/>
  </r>
  <r>
    <s v="TX501002"/>
    <x v="8"/>
    <x v="0"/>
    <n v="39.299999999999997"/>
    <n v="39.299999999999997"/>
    <x v="39"/>
    <x v="49"/>
    <x v="2"/>
    <x v="1"/>
    <x v="1"/>
    <x v="0"/>
    <x v="49"/>
    <x v="11"/>
    <x v="6"/>
    <x v="2"/>
  </r>
  <r>
    <s v="TX501003"/>
    <x v="4"/>
    <x v="7"/>
    <n v="48.8"/>
    <n v="488"/>
    <x v="39"/>
    <x v="40"/>
    <x v="2"/>
    <x v="3"/>
    <x v="1"/>
    <x v="0"/>
    <x v="25"/>
    <x v="1"/>
    <x v="6"/>
    <x v="2"/>
  </r>
  <r>
    <s v="TX501004"/>
    <x v="6"/>
    <x v="8"/>
    <n v="72.8"/>
    <n v="582.4"/>
    <x v="39"/>
    <x v="40"/>
    <x v="1"/>
    <x v="1"/>
    <x v="2"/>
    <x v="0"/>
    <x v="5"/>
    <x v="1"/>
    <x v="6"/>
    <x v="1"/>
  </r>
  <r>
    <s v="TX501005"/>
    <x v="10"/>
    <x v="8"/>
    <n v="46.2"/>
    <n v="369.6"/>
    <x v="39"/>
    <x v="37"/>
    <x v="1"/>
    <x v="3"/>
    <x v="4"/>
    <x v="0"/>
    <x v="5"/>
    <x v="3"/>
    <x v="6"/>
    <x v="1"/>
  </r>
  <r>
    <s v="TX501006"/>
    <x v="4"/>
    <x v="1"/>
    <n v="20.7"/>
    <n v="41.4"/>
    <x v="39"/>
    <x v="37"/>
    <x v="2"/>
    <x v="2"/>
    <x v="3"/>
    <x v="0"/>
    <x v="6"/>
    <x v="3"/>
    <x v="6"/>
    <x v="2"/>
  </r>
  <r>
    <s v="TX501007"/>
    <x v="0"/>
    <x v="0"/>
    <n v="35.700000000000003"/>
    <n v="35.700000000000003"/>
    <x v="39"/>
    <x v="40"/>
    <x v="2"/>
    <x v="3"/>
    <x v="0"/>
    <x v="0"/>
    <x v="6"/>
    <x v="1"/>
    <x v="6"/>
    <x v="2"/>
  </r>
  <r>
    <s v="TX501008"/>
    <x v="2"/>
    <x v="27"/>
    <n v="166.2"/>
    <n v="2659.2"/>
    <x v="39"/>
    <x v="40"/>
    <x v="0"/>
    <x v="2"/>
    <x v="0"/>
    <x v="0"/>
    <x v="7"/>
    <x v="1"/>
    <x v="6"/>
    <x v="0"/>
  </r>
  <r>
    <s v="TX501009"/>
    <x v="6"/>
    <x v="12"/>
    <n v="85.8"/>
    <n v="343.2"/>
    <x v="39"/>
    <x v="37"/>
    <x v="2"/>
    <x v="1"/>
    <x v="1"/>
    <x v="0"/>
    <x v="7"/>
    <x v="3"/>
    <x v="6"/>
    <x v="2"/>
  </r>
  <r>
    <s v="TX501010"/>
    <x v="8"/>
    <x v="2"/>
    <n v="26"/>
    <n v="78"/>
    <x v="39"/>
    <x v="40"/>
    <x v="3"/>
    <x v="1"/>
    <x v="0"/>
    <x v="0"/>
    <x v="7"/>
    <x v="1"/>
    <x v="6"/>
    <x v="3"/>
  </r>
  <r>
    <s v="TX501011"/>
    <x v="2"/>
    <x v="15"/>
    <n v="116.6"/>
    <n v="1515.8"/>
    <x v="39"/>
    <x v="44"/>
    <x v="2"/>
    <x v="0"/>
    <x v="0"/>
    <x v="0"/>
    <x v="8"/>
    <x v="2"/>
    <x v="6"/>
    <x v="2"/>
  </r>
  <r>
    <s v="TX501012"/>
    <x v="9"/>
    <x v="3"/>
    <n v="53.9"/>
    <n v="377.3"/>
    <x v="39"/>
    <x v="44"/>
    <x v="3"/>
    <x v="0"/>
    <x v="2"/>
    <x v="0"/>
    <x v="8"/>
    <x v="2"/>
    <x v="6"/>
    <x v="3"/>
  </r>
  <r>
    <s v="TX501013"/>
    <x v="12"/>
    <x v="9"/>
    <n v="72.3"/>
    <n v="361.5"/>
    <x v="39"/>
    <x v="40"/>
    <x v="0"/>
    <x v="2"/>
    <x v="2"/>
    <x v="0"/>
    <x v="8"/>
    <x v="1"/>
    <x v="6"/>
    <x v="0"/>
  </r>
  <r>
    <s v="TX501014"/>
    <x v="5"/>
    <x v="1"/>
    <n v="31.4"/>
    <n v="62.8"/>
    <x v="39"/>
    <x v="40"/>
    <x v="2"/>
    <x v="0"/>
    <x v="0"/>
    <x v="0"/>
    <x v="8"/>
    <x v="1"/>
    <x v="6"/>
    <x v="2"/>
  </r>
  <r>
    <s v="TX501015"/>
    <x v="13"/>
    <x v="1"/>
    <n v="53.1"/>
    <n v="106.2"/>
    <x v="39"/>
    <x v="44"/>
    <x v="1"/>
    <x v="1"/>
    <x v="0"/>
    <x v="0"/>
    <x v="8"/>
    <x v="2"/>
    <x v="6"/>
    <x v="1"/>
  </r>
  <r>
    <s v="TX501016"/>
    <x v="2"/>
    <x v="12"/>
    <n v="56.2"/>
    <n v="224.8"/>
    <x v="39"/>
    <x v="37"/>
    <x v="2"/>
    <x v="0"/>
    <x v="0"/>
    <x v="0"/>
    <x v="8"/>
    <x v="3"/>
    <x v="6"/>
    <x v="2"/>
  </r>
  <r>
    <s v="TX501017"/>
    <x v="1"/>
    <x v="7"/>
    <n v="77.3"/>
    <n v="773"/>
    <x v="39"/>
    <x v="37"/>
    <x v="2"/>
    <x v="2"/>
    <x v="0"/>
    <x v="0"/>
    <x v="11"/>
    <x v="3"/>
    <x v="6"/>
    <x v="2"/>
  </r>
  <r>
    <s v="TX501018"/>
    <x v="6"/>
    <x v="15"/>
    <n v="57.8"/>
    <n v="751.4"/>
    <x v="39"/>
    <x v="37"/>
    <x v="0"/>
    <x v="0"/>
    <x v="0"/>
    <x v="0"/>
    <x v="53"/>
    <x v="3"/>
    <x v="6"/>
    <x v="0"/>
  </r>
  <r>
    <s v="TX501019"/>
    <x v="12"/>
    <x v="20"/>
    <n v="42.1"/>
    <n v="631.5"/>
    <x v="39"/>
    <x v="40"/>
    <x v="2"/>
    <x v="1"/>
    <x v="1"/>
    <x v="0"/>
    <x v="53"/>
    <x v="1"/>
    <x v="6"/>
    <x v="2"/>
  </r>
  <r>
    <s v="TX501020"/>
    <x v="8"/>
    <x v="11"/>
    <n v="22.8"/>
    <n v="205.20000000000002"/>
    <x v="39"/>
    <x v="45"/>
    <x v="1"/>
    <x v="2"/>
    <x v="2"/>
    <x v="0"/>
    <x v="19"/>
    <x v="5"/>
    <x v="6"/>
    <x v="1"/>
  </r>
  <r>
    <s v="TX501021"/>
    <x v="2"/>
    <x v="2"/>
    <n v="171.1"/>
    <n v="513.29999999999995"/>
    <x v="40"/>
    <x v="43"/>
    <x v="2"/>
    <x v="2"/>
    <x v="1"/>
    <x v="0"/>
    <x v="19"/>
    <x v="6"/>
    <x v="6"/>
    <x v="2"/>
  </r>
  <r>
    <s v="TX501022"/>
    <x v="8"/>
    <x v="0"/>
    <n v="28"/>
    <n v="28"/>
    <x v="40"/>
    <x v="44"/>
    <x v="1"/>
    <x v="2"/>
    <x v="2"/>
    <x v="0"/>
    <x v="21"/>
    <x v="1"/>
    <x v="6"/>
    <x v="1"/>
  </r>
  <r>
    <s v="TX501023"/>
    <x v="6"/>
    <x v="3"/>
    <n v="50.2"/>
    <n v="351.40000000000003"/>
    <x v="40"/>
    <x v="44"/>
    <x v="1"/>
    <x v="2"/>
    <x v="0"/>
    <x v="0"/>
    <x v="21"/>
    <x v="1"/>
    <x v="6"/>
    <x v="1"/>
  </r>
  <r>
    <s v="TX501024"/>
    <x v="6"/>
    <x v="1"/>
    <n v="56"/>
    <n v="112"/>
    <x v="40"/>
    <x v="37"/>
    <x v="1"/>
    <x v="0"/>
    <x v="2"/>
    <x v="0"/>
    <x v="22"/>
    <x v="7"/>
    <x v="6"/>
    <x v="1"/>
  </r>
  <r>
    <s v="TX501025"/>
    <x v="1"/>
    <x v="1"/>
    <n v="38.299999999999997"/>
    <n v="76.599999999999994"/>
    <x v="40"/>
    <x v="40"/>
    <x v="2"/>
    <x v="1"/>
    <x v="0"/>
    <x v="0"/>
    <x v="3"/>
    <x v="3"/>
    <x v="6"/>
    <x v="2"/>
  </r>
  <r>
    <s v="TX501026"/>
    <x v="0"/>
    <x v="9"/>
    <n v="22.3"/>
    <n v="111.5"/>
    <x v="40"/>
    <x v="42"/>
    <x v="2"/>
    <x v="2"/>
    <x v="1"/>
    <x v="0"/>
    <x v="3"/>
    <x v="5"/>
    <x v="6"/>
    <x v="2"/>
  </r>
  <r>
    <s v="TX501027"/>
    <x v="0"/>
    <x v="2"/>
    <n v="22.3"/>
    <n v="66.900000000000006"/>
    <x v="40"/>
    <x v="45"/>
    <x v="2"/>
    <x v="2"/>
    <x v="0"/>
    <x v="0"/>
    <x v="3"/>
    <x v="2"/>
    <x v="6"/>
    <x v="2"/>
  </r>
  <r>
    <s v="TX501028"/>
    <x v="1"/>
    <x v="0"/>
    <n v="32.9"/>
    <n v="32.9"/>
    <x v="40"/>
    <x v="48"/>
    <x v="2"/>
    <x v="0"/>
    <x v="0"/>
    <x v="0"/>
    <x v="3"/>
    <x v="0"/>
    <x v="6"/>
    <x v="2"/>
  </r>
  <r>
    <s v="TX501029"/>
    <x v="10"/>
    <x v="2"/>
    <n v="31.9"/>
    <n v="95.699999999999989"/>
    <x v="40"/>
    <x v="48"/>
    <x v="2"/>
    <x v="0"/>
    <x v="0"/>
    <x v="0"/>
    <x v="3"/>
    <x v="0"/>
    <x v="6"/>
    <x v="2"/>
  </r>
  <r>
    <s v="TX501030"/>
    <x v="6"/>
    <x v="1"/>
    <n v="94"/>
    <n v="188"/>
    <x v="40"/>
    <x v="40"/>
    <x v="1"/>
    <x v="2"/>
    <x v="2"/>
    <x v="0"/>
    <x v="3"/>
    <x v="3"/>
    <x v="6"/>
    <x v="1"/>
  </r>
  <r>
    <s v="TX501031"/>
    <x v="10"/>
    <x v="1"/>
    <n v="30.7"/>
    <n v="61.4"/>
    <x v="40"/>
    <x v="40"/>
    <x v="2"/>
    <x v="0"/>
    <x v="1"/>
    <x v="0"/>
    <x v="3"/>
    <x v="3"/>
    <x v="6"/>
    <x v="2"/>
  </r>
  <r>
    <s v="TX501032"/>
    <x v="5"/>
    <x v="9"/>
    <n v="90.5"/>
    <n v="452.5"/>
    <x v="40"/>
    <x v="43"/>
    <x v="1"/>
    <x v="0"/>
    <x v="2"/>
    <x v="0"/>
    <x v="3"/>
    <x v="6"/>
    <x v="6"/>
    <x v="1"/>
  </r>
  <r>
    <s v="TX501033"/>
    <x v="8"/>
    <x v="9"/>
    <n v="25.3"/>
    <n v="126.5"/>
    <x v="40"/>
    <x v="42"/>
    <x v="2"/>
    <x v="0"/>
    <x v="2"/>
    <x v="0"/>
    <x v="3"/>
    <x v="5"/>
    <x v="6"/>
    <x v="2"/>
  </r>
  <r>
    <s v="TX501034"/>
    <x v="6"/>
    <x v="2"/>
    <n v="58.1"/>
    <n v="174.3"/>
    <x v="40"/>
    <x v="42"/>
    <x v="0"/>
    <x v="0"/>
    <x v="2"/>
    <x v="0"/>
    <x v="3"/>
    <x v="5"/>
    <x v="6"/>
    <x v="0"/>
  </r>
  <r>
    <s v="TX501035"/>
    <x v="2"/>
    <x v="2"/>
    <n v="74.900000000000006"/>
    <n v="224.70000000000002"/>
    <x v="40"/>
    <x v="40"/>
    <x v="2"/>
    <x v="4"/>
    <x v="0"/>
    <x v="0"/>
    <x v="3"/>
    <x v="3"/>
    <x v="6"/>
    <x v="2"/>
  </r>
  <r>
    <s v="TX501036"/>
    <x v="4"/>
    <x v="1"/>
    <n v="32.5"/>
    <n v="65"/>
    <x v="40"/>
    <x v="40"/>
    <x v="1"/>
    <x v="2"/>
    <x v="2"/>
    <x v="0"/>
    <x v="43"/>
    <x v="3"/>
    <x v="6"/>
    <x v="1"/>
  </r>
  <r>
    <s v="TX501037"/>
    <x v="4"/>
    <x v="9"/>
    <n v="62"/>
    <n v="310"/>
    <x v="40"/>
    <x v="40"/>
    <x v="1"/>
    <x v="4"/>
    <x v="2"/>
    <x v="0"/>
    <x v="25"/>
    <x v="3"/>
    <x v="6"/>
    <x v="1"/>
  </r>
  <r>
    <s v="TX501038"/>
    <x v="13"/>
    <x v="13"/>
    <n v="28.9"/>
    <n v="173.39999999999998"/>
    <x v="40"/>
    <x v="45"/>
    <x v="2"/>
    <x v="0"/>
    <x v="1"/>
    <x v="0"/>
    <x v="6"/>
    <x v="2"/>
    <x v="6"/>
    <x v="2"/>
  </r>
  <r>
    <s v="TX501039"/>
    <x v="6"/>
    <x v="8"/>
    <n v="42.8"/>
    <n v="342.4"/>
    <x v="40"/>
    <x v="44"/>
    <x v="2"/>
    <x v="0"/>
    <x v="2"/>
    <x v="0"/>
    <x v="6"/>
    <x v="1"/>
    <x v="6"/>
    <x v="2"/>
  </r>
  <r>
    <s v="TX501040"/>
    <x v="8"/>
    <x v="8"/>
    <n v="39.4"/>
    <n v="315.2"/>
    <x v="40"/>
    <x v="44"/>
    <x v="1"/>
    <x v="0"/>
    <x v="0"/>
    <x v="0"/>
    <x v="36"/>
    <x v="1"/>
    <x v="6"/>
    <x v="1"/>
  </r>
  <r>
    <s v="TX501041"/>
    <x v="18"/>
    <x v="2"/>
    <n v="66.400000000000006"/>
    <n v="199.20000000000002"/>
    <x v="40"/>
    <x v="40"/>
    <x v="0"/>
    <x v="2"/>
    <x v="1"/>
    <x v="0"/>
    <x v="7"/>
    <x v="3"/>
    <x v="6"/>
    <x v="0"/>
  </r>
  <r>
    <s v="TX501042"/>
    <x v="17"/>
    <x v="12"/>
    <n v="35.9"/>
    <n v="143.6"/>
    <x v="40"/>
    <x v="43"/>
    <x v="2"/>
    <x v="1"/>
    <x v="0"/>
    <x v="0"/>
    <x v="7"/>
    <x v="6"/>
    <x v="6"/>
    <x v="2"/>
  </r>
  <r>
    <s v="TX501043"/>
    <x v="0"/>
    <x v="12"/>
    <n v="26.9"/>
    <n v="107.6"/>
    <x v="40"/>
    <x v="40"/>
    <x v="1"/>
    <x v="1"/>
    <x v="0"/>
    <x v="0"/>
    <x v="7"/>
    <x v="3"/>
    <x v="6"/>
    <x v="1"/>
  </r>
  <r>
    <s v="TX501044"/>
    <x v="2"/>
    <x v="0"/>
    <n v="55.1"/>
    <n v="55.1"/>
    <x v="40"/>
    <x v="40"/>
    <x v="2"/>
    <x v="0"/>
    <x v="0"/>
    <x v="0"/>
    <x v="7"/>
    <x v="3"/>
    <x v="6"/>
    <x v="2"/>
  </r>
  <r>
    <s v="TX501045"/>
    <x v="4"/>
    <x v="1"/>
    <n v="23.9"/>
    <n v="47.8"/>
    <x v="40"/>
    <x v="40"/>
    <x v="1"/>
    <x v="0"/>
    <x v="2"/>
    <x v="0"/>
    <x v="8"/>
    <x v="3"/>
    <x v="6"/>
    <x v="1"/>
  </r>
  <r>
    <s v="TX501046"/>
    <x v="9"/>
    <x v="15"/>
    <n v="21.1"/>
    <n v="274.3"/>
    <x v="40"/>
    <x v="50"/>
    <x v="2"/>
    <x v="0"/>
    <x v="1"/>
    <x v="0"/>
    <x v="8"/>
    <x v="9"/>
    <x v="6"/>
    <x v="2"/>
  </r>
  <r>
    <s v="TX501047"/>
    <x v="8"/>
    <x v="9"/>
    <n v="33.799999999999997"/>
    <n v="169"/>
    <x v="40"/>
    <x v="44"/>
    <x v="2"/>
    <x v="0"/>
    <x v="0"/>
    <x v="0"/>
    <x v="8"/>
    <x v="1"/>
    <x v="6"/>
    <x v="2"/>
  </r>
  <r>
    <s v="TX501048"/>
    <x v="2"/>
    <x v="12"/>
    <n v="56.1"/>
    <n v="224.4"/>
    <x v="40"/>
    <x v="37"/>
    <x v="2"/>
    <x v="3"/>
    <x v="2"/>
    <x v="0"/>
    <x v="9"/>
    <x v="7"/>
    <x v="6"/>
    <x v="2"/>
  </r>
  <r>
    <s v="TX501049"/>
    <x v="3"/>
    <x v="0"/>
    <n v="58.5"/>
    <n v="58.5"/>
    <x v="41"/>
    <x v="48"/>
    <x v="2"/>
    <x v="1"/>
    <x v="2"/>
    <x v="0"/>
    <x v="9"/>
    <x v="5"/>
    <x v="6"/>
    <x v="2"/>
  </r>
  <r>
    <s v="TX501050"/>
    <x v="6"/>
    <x v="0"/>
    <n v="84.2"/>
    <n v="84.2"/>
    <x v="41"/>
    <x v="45"/>
    <x v="1"/>
    <x v="3"/>
    <x v="0"/>
    <x v="0"/>
    <x v="11"/>
    <x v="1"/>
    <x v="6"/>
    <x v="1"/>
  </r>
  <r>
    <s v="TX501051"/>
    <x v="11"/>
    <x v="12"/>
    <n v="52"/>
    <n v="208"/>
    <x v="41"/>
    <x v="42"/>
    <x v="1"/>
    <x v="0"/>
    <x v="0"/>
    <x v="0"/>
    <x v="11"/>
    <x v="2"/>
    <x v="6"/>
    <x v="1"/>
  </r>
  <r>
    <s v="TX501052"/>
    <x v="4"/>
    <x v="9"/>
    <n v="31.5"/>
    <n v="157.5"/>
    <x v="41"/>
    <x v="44"/>
    <x v="2"/>
    <x v="0"/>
    <x v="2"/>
    <x v="0"/>
    <x v="11"/>
    <x v="3"/>
    <x v="6"/>
    <x v="2"/>
  </r>
  <r>
    <s v="TX501053"/>
    <x v="16"/>
    <x v="2"/>
    <n v="46.2"/>
    <n v="138.60000000000002"/>
    <x v="41"/>
    <x v="44"/>
    <x v="1"/>
    <x v="0"/>
    <x v="0"/>
    <x v="0"/>
    <x v="53"/>
    <x v="3"/>
    <x v="6"/>
    <x v="1"/>
  </r>
  <r>
    <s v="TX501054"/>
    <x v="2"/>
    <x v="13"/>
    <n v="135"/>
    <n v="810"/>
    <x v="41"/>
    <x v="44"/>
    <x v="2"/>
    <x v="1"/>
    <x v="2"/>
    <x v="0"/>
    <x v="18"/>
    <x v="3"/>
    <x v="6"/>
    <x v="2"/>
  </r>
  <r>
    <s v="TX501055"/>
    <x v="12"/>
    <x v="2"/>
    <n v="92.2"/>
    <n v="276.60000000000002"/>
    <x v="41"/>
    <x v="48"/>
    <x v="1"/>
    <x v="0"/>
    <x v="0"/>
    <x v="0"/>
    <x v="21"/>
    <x v="5"/>
    <x v="6"/>
    <x v="1"/>
  </r>
  <r>
    <s v="TX501056"/>
    <x v="8"/>
    <x v="0"/>
    <n v="36.6"/>
    <n v="36.6"/>
    <x v="41"/>
    <x v="45"/>
    <x v="1"/>
    <x v="2"/>
    <x v="2"/>
    <x v="0"/>
    <x v="21"/>
    <x v="1"/>
    <x v="6"/>
    <x v="1"/>
  </r>
  <r>
    <s v="TX501057"/>
    <x v="9"/>
    <x v="1"/>
    <n v="50.6"/>
    <n v="101.2"/>
    <x v="41"/>
    <x v="42"/>
    <x v="2"/>
    <x v="0"/>
    <x v="0"/>
    <x v="0"/>
    <x v="2"/>
    <x v="2"/>
    <x v="6"/>
    <x v="2"/>
  </r>
  <r>
    <s v="TX501058"/>
    <x v="18"/>
    <x v="3"/>
    <n v="56.7"/>
    <n v="396.90000000000003"/>
    <x v="41"/>
    <x v="42"/>
    <x v="2"/>
    <x v="0"/>
    <x v="0"/>
    <x v="0"/>
    <x v="2"/>
    <x v="2"/>
    <x v="6"/>
    <x v="2"/>
  </r>
  <r>
    <s v="TX501059"/>
    <x v="9"/>
    <x v="15"/>
    <n v="22.9"/>
    <n v="297.7"/>
    <x v="41"/>
    <x v="44"/>
    <x v="2"/>
    <x v="0"/>
    <x v="1"/>
    <x v="0"/>
    <x v="44"/>
    <x v="3"/>
    <x v="6"/>
    <x v="2"/>
  </r>
  <r>
    <s v="TX501060"/>
    <x v="15"/>
    <x v="10"/>
    <n v="53.6"/>
    <n v="1018.4"/>
    <x v="41"/>
    <x v="44"/>
    <x v="1"/>
    <x v="0"/>
    <x v="0"/>
    <x v="0"/>
    <x v="22"/>
    <x v="3"/>
    <x v="6"/>
    <x v="1"/>
  </r>
  <r>
    <s v="TX501061"/>
    <x v="18"/>
    <x v="1"/>
    <n v="30.2"/>
    <n v="60.4"/>
    <x v="41"/>
    <x v="45"/>
    <x v="0"/>
    <x v="2"/>
    <x v="2"/>
    <x v="0"/>
    <x v="3"/>
    <x v="1"/>
    <x v="6"/>
    <x v="0"/>
  </r>
  <r>
    <s v="TX501062"/>
    <x v="15"/>
    <x v="13"/>
    <n v="83.4"/>
    <n v="500.40000000000003"/>
    <x v="41"/>
    <x v="44"/>
    <x v="1"/>
    <x v="1"/>
    <x v="2"/>
    <x v="0"/>
    <x v="3"/>
    <x v="3"/>
    <x v="6"/>
    <x v="1"/>
  </r>
  <r>
    <s v="TX501063"/>
    <x v="13"/>
    <x v="4"/>
    <n v="16.600000000000001"/>
    <n v="199.20000000000002"/>
    <x v="41"/>
    <x v="45"/>
    <x v="1"/>
    <x v="1"/>
    <x v="0"/>
    <x v="0"/>
    <x v="3"/>
    <x v="1"/>
    <x v="6"/>
    <x v="1"/>
  </r>
  <r>
    <s v="TX501064"/>
    <x v="8"/>
    <x v="14"/>
    <n v="21.9"/>
    <n v="372.29999999999995"/>
    <x v="41"/>
    <x v="45"/>
    <x v="2"/>
    <x v="4"/>
    <x v="1"/>
    <x v="0"/>
    <x v="3"/>
    <x v="1"/>
    <x v="6"/>
    <x v="2"/>
  </r>
  <r>
    <s v="TX501065"/>
    <x v="8"/>
    <x v="31"/>
    <n v="33.799999999999997"/>
    <n v="946.39999999999986"/>
    <x v="41"/>
    <x v="45"/>
    <x v="1"/>
    <x v="2"/>
    <x v="4"/>
    <x v="0"/>
    <x v="3"/>
    <x v="1"/>
    <x v="6"/>
    <x v="1"/>
  </r>
  <r>
    <s v="TX501066"/>
    <x v="18"/>
    <x v="1"/>
    <n v="53.2"/>
    <n v="106.4"/>
    <x v="41"/>
    <x v="40"/>
    <x v="1"/>
    <x v="1"/>
    <x v="0"/>
    <x v="0"/>
    <x v="3"/>
    <x v="7"/>
    <x v="6"/>
    <x v="1"/>
  </r>
  <r>
    <s v="TX501067"/>
    <x v="2"/>
    <x v="1"/>
    <n v="176.7"/>
    <n v="353.4"/>
    <x v="41"/>
    <x v="42"/>
    <x v="2"/>
    <x v="2"/>
    <x v="0"/>
    <x v="0"/>
    <x v="3"/>
    <x v="2"/>
    <x v="6"/>
    <x v="2"/>
  </r>
  <r>
    <s v="TX501068"/>
    <x v="12"/>
    <x v="2"/>
    <n v="54"/>
    <n v="162"/>
    <x v="41"/>
    <x v="42"/>
    <x v="1"/>
    <x v="0"/>
    <x v="1"/>
    <x v="0"/>
    <x v="3"/>
    <x v="2"/>
    <x v="6"/>
    <x v="1"/>
  </r>
  <r>
    <s v="TX501069"/>
    <x v="9"/>
    <x v="1"/>
    <n v="70.099999999999994"/>
    <n v="140.19999999999999"/>
    <x v="41"/>
    <x v="46"/>
    <x v="2"/>
    <x v="3"/>
    <x v="2"/>
    <x v="0"/>
    <x v="3"/>
    <x v="9"/>
    <x v="6"/>
    <x v="2"/>
  </r>
  <r>
    <s v="TX501070"/>
    <x v="8"/>
    <x v="0"/>
    <n v="26.5"/>
    <n v="26.5"/>
    <x v="41"/>
    <x v="45"/>
    <x v="2"/>
    <x v="1"/>
    <x v="0"/>
    <x v="0"/>
    <x v="3"/>
    <x v="1"/>
    <x v="6"/>
    <x v="2"/>
  </r>
  <r>
    <s v="TX501071"/>
    <x v="7"/>
    <x v="9"/>
    <n v="89"/>
    <n v="445"/>
    <x v="41"/>
    <x v="45"/>
    <x v="1"/>
    <x v="2"/>
    <x v="4"/>
    <x v="0"/>
    <x v="3"/>
    <x v="1"/>
    <x v="6"/>
    <x v="1"/>
  </r>
  <r>
    <s v="TX501072"/>
    <x v="1"/>
    <x v="13"/>
    <n v="47"/>
    <n v="282"/>
    <x v="41"/>
    <x v="42"/>
    <x v="2"/>
    <x v="3"/>
    <x v="0"/>
    <x v="0"/>
    <x v="24"/>
    <x v="2"/>
    <x v="6"/>
    <x v="2"/>
  </r>
  <r>
    <s v="TX501073"/>
    <x v="3"/>
    <x v="1"/>
    <n v="55.2"/>
    <n v="110.4"/>
    <x v="41"/>
    <x v="42"/>
    <x v="1"/>
    <x v="1"/>
    <x v="1"/>
    <x v="0"/>
    <x v="6"/>
    <x v="2"/>
    <x v="6"/>
    <x v="1"/>
  </r>
  <r>
    <s v="TX501074"/>
    <x v="8"/>
    <x v="39"/>
    <n v="33.299999999999997"/>
    <n v="1398.6"/>
    <x v="41"/>
    <x v="51"/>
    <x v="1"/>
    <x v="1"/>
    <x v="2"/>
    <x v="0"/>
    <x v="6"/>
    <x v="12"/>
    <x v="6"/>
    <x v="1"/>
  </r>
  <r>
    <s v="TX501075"/>
    <x v="2"/>
    <x v="12"/>
    <n v="110.9"/>
    <n v="443.6"/>
    <x v="42"/>
    <x v="44"/>
    <x v="1"/>
    <x v="2"/>
    <x v="4"/>
    <x v="0"/>
    <x v="6"/>
    <x v="7"/>
    <x v="6"/>
    <x v="1"/>
  </r>
  <r>
    <s v="TX501076"/>
    <x v="2"/>
    <x v="13"/>
    <n v="67.3"/>
    <n v="403.79999999999995"/>
    <x v="42"/>
    <x v="45"/>
    <x v="1"/>
    <x v="0"/>
    <x v="0"/>
    <x v="0"/>
    <x v="8"/>
    <x v="3"/>
    <x v="6"/>
    <x v="1"/>
  </r>
  <r>
    <s v="TX501077"/>
    <x v="6"/>
    <x v="2"/>
    <n v="69.7"/>
    <n v="209.10000000000002"/>
    <x v="42"/>
    <x v="45"/>
    <x v="1"/>
    <x v="2"/>
    <x v="1"/>
    <x v="0"/>
    <x v="8"/>
    <x v="3"/>
    <x v="6"/>
    <x v="1"/>
  </r>
  <r>
    <s v="TX501078"/>
    <x v="5"/>
    <x v="0"/>
    <n v="39.1"/>
    <n v="39.1"/>
    <x v="42"/>
    <x v="43"/>
    <x v="1"/>
    <x v="0"/>
    <x v="1"/>
    <x v="0"/>
    <x v="17"/>
    <x v="0"/>
    <x v="6"/>
    <x v="1"/>
  </r>
  <r>
    <s v="TX501079"/>
    <x v="2"/>
    <x v="2"/>
    <n v="208.6"/>
    <n v="625.79999999999995"/>
    <x v="42"/>
    <x v="44"/>
    <x v="1"/>
    <x v="4"/>
    <x v="2"/>
    <x v="0"/>
    <x v="17"/>
    <x v="7"/>
    <x v="6"/>
    <x v="1"/>
  </r>
  <r>
    <s v="TX501080"/>
    <x v="15"/>
    <x v="2"/>
    <n v="27.8"/>
    <n v="83.4"/>
    <x v="42"/>
    <x v="45"/>
    <x v="1"/>
    <x v="3"/>
    <x v="1"/>
    <x v="0"/>
    <x v="11"/>
    <x v="3"/>
    <x v="6"/>
    <x v="1"/>
  </r>
  <r>
    <s v="TX501081"/>
    <x v="10"/>
    <x v="9"/>
    <n v="29.4"/>
    <n v="147"/>
    <x v="42"/>
    <x v="42"/>
    <x v="2"/>
    <x v="0"/>
    <x v="0"/>
    <x v="0"/>
    <x v="11"/>
    <x v="1"/>
    <x v="6"/>
    <x v="2"/>
  </r>
  <r>
    <s v="TX501082"/>
    <x v="9"/>
    <x v="1"/>
    <n v="29.2"/>
    <n v="58.4"/>
    <x v="42"/>
    <x v="42"/>
    <x v="2"/>
    <x v="1"/>
    <x v="2"/>
    <x v="0"/>
    <x v="20"/>
    <x v="1"/>
    <x v="6"/>
    <x v="2"/>
  </r>
  <r>
    <s v="TX501083"/>
    <x v="10"/>
    <x v="9"/>
    <n v="26.5"/>
    <n v="132.5"/>
    <x v="42"/>
    <x v="42"/>
    <x v="2"/>
    <x v="0"/>
    <x v="0"/>
    <x v="0"/>
    <x v="52"/>
    <x v="1"/>
    <x v="6"/>
    <x v="2"/>
  </r>
  <r>
    <s v="TX501084"/>
    <x v="5"/>
    <x v="0"/>
    <n v="30.3"/>
    <n v="30.3"/>
    <x v="42"/>
    <x v="45"/>
    <x v="2"/>
    <x v="4"/>
    <x v="1"/>
    <x v="0"/>
    <x v="13"/>
    <x v="3"/>
    <x v="6"/>
    <x v="2"/>
  </r>
  <r>
    <s v="TX501085"/>
    <x v="16"/>
    <x v="4"/>
    <n v="39.700000000000003"/>
    <n v="476.40000000000003"/>
    <x v="42"/>
    <x v="45"/>
    <x v="2"/>
    <x v="0"/>
    <x v="0"/>
    <x v="0"/>
    <x v="21"/>
    <x v="3"/>
    <x v="6"/>
    <x v="2"/>
  </r>
  <r>
    <s v="TX501086"/>
    <x v="7"/>
    <x v="7"/>
    <n v="58.9"/>
    <n v="589"/>
    <x v="42"/>
    <x v="42"/>
    <x v="2"/>
    <x v="1"/>
    <x v="4"/>
    <x v="0"/>
    <x v="21"/>
    <x v="1"/>
    <x v="6"/>
    <x v="2"/>
  </r>
  <r>
    <s v="TX501087"/>
    <x v="2"/>
    <x v="1"/>
    <n v="174.1"/>
    <n v="348.2"/>
    <x v="42"/>
    <x v="42"/>
    <x v="2"/>
    <x v="0"/>
    <x v="1"/>
    <x v="0"/>
    <x v="46"/>
    <x v="1"/>
    <x v="6"/>
    <x v="2"/>
  </r>
  <r>
    <s v="TX501088"/>
    <x v="6"/>
    <x v="1"/>
    <n v="70.8"/>
    <n v="141.6"/>
    <x v="42"/>
    <x v="48"/>
    <x v="1"/>
    <x v="2"/>
    <x v="0"/>
    <x v="0"/>
    <x v="22"/>
    <x v="2"/>
    <x v="6"/>
    <x v="1"/>
  </r>
  <r>
    <s v="TX501089"/>
    <x v="7"/>
    <x v="1"/>
    <n v="57.4"/>
    <n v="114.8"/>
    <x v="42"/>
    <x v="42"/>
    <x v="2"/>
    <x v="1"/>
    <x v="1"/>
    <x v="0"/>
    <x v="34"/>
    <x v="1"/>
    <x v="6"/>
    <x v="2"/>
  </r>
  <r>
    <s v="TX501090"/>
    <x v="0"/>
    <x v="1"/>
    <n v="28.5"/>
    <n v="57"/>
    <x v="42"/>
    <x v="42"/>
    <x v="1"/>
    <x v="3"/>
    <x v="1"/>
    <x v="0"/>
    <x v="3"/>
    <x v="1"/>
    <x v="6"/>
    <x v="1"/>
  </r>
  <r>
    <s v="TX501091"/>
    <x v="2"/>
    <x v="28"/>
    <n v="106.6"/>
    <n v="2132"/>
    <x v="42"/>
    <x v="45"/>
    <x v="0"/>
    <x v="1"/>
    <x v="4"/>
    <x v="0"/>
    <x v="3"/>
    <x v="3"/>
    <x v="6"/>
    <x v="0"/>
  </r>
  <r>
    <s v="TX501092"/>
    <x v="2"/>
    <x v="2"/>
    <n v="119.7"/>
    <n v="359.1"/>
    <x v="42"/>
    <x v="45"/>
    <x v="2"/>
    <x v="1"/>
    <x v="4"/>
    <x v="0"/>
    <x v="3"/>
    <x v="3"/>
    <x v="6"/>
    <x v="2"/>
  </r>
  <r>
    <s v="TX501093"/>
    <x v="18"/>
    <x v="0"/>
    <n v="73.3"/>
    <n v="73.3"/>
    <x v="42"/>
    <x v="43"/>
    <x v="2"/>
    <x v="0"/>
    <x v="2"/>
    <x v="0"/>
    <x v="3"/>
    <x v="0"/>
    <x v="6"/>
    <x v="2"/>
  </r>
  <r>
    <s v="TX501094"/>
    <x v="0"/>
    <x v="1"/>
    <n v="25.8"/>
    <n v="51.6"/>
    <x v="42"/>
    <x v="52"/>
    <x v="1"/>
    <x v="2"/>
    <x v="0"/>
    <x v="0"/>
    <x v="3"/>
    <x v="12"/>
    <x v="6"/>
    <x v="1"/>
  </r>
  <r>
    <s v="TX501095"/>
    <x v="17"/>
    <x v="2"/>
    <n v="49.1"/>
    <n v="147.30000000000001"/>
    <x v="42"/>
    <x v="42"/>
    <x v="2"/>
    <x v="0"/>
    <x v="0"/>
    <x v="0"/>
    <x v="24"/>
    <x v="1"/>
    <x v="6"/>
    <x v="2"/>
  </r>
  <r>
    <s v="TX501096"/>
    <x v="1"/>
    <x v="0"/>
    <n v="44.9"/>
    <n v="44.9"/>
    <x v="42"/>
    <x v="48"/>
    <x v="2"/>
    <x v="3"/>
    <x v="2"/>
    <x v="0"/>
    <x v="6"/>
    <x v="2"/>
    <x v="6"/>
    <x v="2"/>
  </r>
  <r>
    <s v="TX501097"/>
    <x v="15"/>
    <x v="3"/>
    <n v="29.9"/>
    <n v="209.29999999999998"/>
    <x v="42"/>
    <x v="45"/>
    <x v="2"/>
    <x v="0"/>
    <x v="0"/>
    <x v="0"/>
    <x v="6"/>
    <x v="3"/>
    <x v="6"/>
    <x v="2"/>
  </r>
  <r>
    <s v="TX501098"/>
    <x v="7"/>
    <x v="1"/>
    <n v="54.3"/>
    <n v="108.6"/>
    <x v="43"/>
    <x v="42"/>
    <x v="1"/>
    <x v="3"/>
    <x v="0"/>
    <x v="0"/>
    <x v="36"/>
    <x v="3"/>
    <x v="6"/>
    <x v="1"/>
  </r>
  <r>
    <s v="TX501099"/>
    <x v="9"/>
    <x v="12"/>
    <n v="57"/>
    <n v="228"/>
    <x v="43"/>
    <x v="48"/>
    <x v="2"/>
    <x v="0"/>
    <x v="0"/>
    <x v="0"/>
    <x v="8"/>
    <x v="1"/>
    <x v="6"/>
    <x v="2"/>
  </r>
  <r>
    <s v="TX501100"/>
    <x v="2"/>
    <x v="0"/>
    <n v="139.19999999999999"/>
    <n v="139.19999999999999"/>
    <x v="43"/>
    <x v="42"/>
    <x v="2"/>
    <x v="3"/>
    <x v="2"/>
    <x v="0"/>
    <x v="8"/>
    <x v="3"/>
    <x v="6"/>
    <x v="2"/>
  </r>
  <r>
    <s v="TX501101"/>
    <x v="10"/>
    <x v="0"/>
    <n v="33"/>
    <n v="33"/>
    <x v="43"/>
    <x v="41"/>
    <x v="2"/>
    <x v="0"/>
    <x v="2"/>
    <x v="0"/>
    <x v="8"/>
    <x v="2"/>
    <x v="6"/>
    <x v="2"/>
  </r>
  <r>
    <s v="TX501102"/>
    <x v="11"/>
    <x v="13"/>
    <n v="80.2"/>
    <n v="481.20000000000005"/>
    <x v="43"/>
    <x v="48"/>
    <x v="1"/>
    <x v="1"/>
    <x v="4"/>
    <x v="0"/>
    <x v="8"/>
    <x v="1"/>
    <x v="6"/>
    <x v="1"/>
  </r>
  <r>
    <s v="TX501103"/>
    <x v="18"/>
    <x v="8"/>
    <n v="49"/>
    <n v="392"/>
    <x v="43"/>
    <x v="42"/>
    <x v="0"/>
    <x v="2"/>
    <x v="1"/>
    <x v="0"/>
    <x v="9"/>
    <x v="3"/>
    <x v="6"/>
    <x v="0"/>
  </r>
  <r>
    <s v="TX501104"/>
    <x v="1"/>
    <x v="12"/>
    <n v="104.4"/>
    <n v="417.6"/>
    <x v="43"/>
    <x v="45"/>
    <x v="2"/>
    <x v="0"/>
    <x v="0"/>
    <x v="0"/>
    <x v="9"/>
    <x v="7"/>
    <x v="6"/>
    <x v="2"/>
  </r>
  <r>
    <s v="TX501105"/>
    <x v="3"/>
    <x v="0"/>
    <n v="41.6"/>
    <n v="41.6"/>
    <x v="43"/>
    <x v="41"/>
    <x v="1"/>
    <x v="3"/>
    <x v="0"/>
    <x v="0"/>
    <x v="11"/>
    <x v="2"/>
    <x v="6"/>
    <x v="1"/>
  </r>
  <r>
    <s v="TX501106"/>
    <x v="19"/>
    <x v="1"/>
    <n v="16.399999999999999"/>
    <n v="32.799999999999997"/>
    <x v="43"/>
    <x v="42"/>
    <x v="3"/>
    <x v="0"/>
    <x v="2"/>
    <x v="0"/>
    <x v="11"/>
    <x v="3"/>
    <x v="6"/>
    <x v="3"/>
  </r>
  <r>
    <s v="TX501107"/>
    <x v="8"/>
    <x v="1"/>
    <n v="22"/>
    <n v="44"/>
    <x v="43"/>
    <x v="42"/>
    <x v="1"/>
    <x v="2"/>
    <x v="2"/>
    <x v="0"/>
    <x v="53"/>
    <x v="3"/>
    <x v="6"/>
    <x v="1"/>
  </r>
  <r>
    <s v="TX501108"/>
    <x v="15"/>
    <x v="1"/>
    <n v="33.6"/>
    <n v="67.2"/>
    <x v="43"/>
    <x v="50"/>
    <x v="2"/>
    <x v="0"/>
    <x v="0"/>
    <x v="0"/>
    <x v="21"/>
    <x v="0"/>
    <x v="6"/>
    <x v="2"/>
  </r>
  <r>
    <s v="TX501109"/>
    <x v="11"/>
    <x v="13"/>
    <n v="43"/>
    <n v="258"/>
    <x v="43"/>
    <x v="42"/>
    <x v="2"/>
    <x v="2"/>
    <x v="0"/>
    <x v="0"/>
    <x v="21"/>
    <x v="3"/>
    <x v="6"/>
    <x v="2"/>
  </r>
  <r>
    <s v="TX501110"/>
    <x v="6"/>
    <x v="9"/>
    <n v="108.8"/>
    <n v="544"/>
    <x v="43"/>
    <x v="41"/>
    <x v="2"/>
    <x v="4"/>
    <x v="2"/>
    <x v="0"/>
    <x v="21"/>
    <x v="2"/>
    <x v="6"/>
    <x v="2"/>
  </r>
  <r>
    <s v="TX501111"/>
    <x v="0"/>
    <x v="11"/>
    <n v="29.3"/>
    <n v="263.7"/>
    <x v="43"/>
    <x v="48"/>
    <x v="1"/>
    <x v="4"/>
    <x v="2"/>
    <x v="0"/>
    <x v="21"/>
    <x v="1"/>
    <x v="6"/>
    <x v="1"/>
  </r>
  <r>
    <s v="TX501112"/>
    <x v="2"/>
    <x v="0"/>
    <n v="122.7"/>
    <n v="122.7"/>
    <x v="43"/>
    <x v="41"/>
    <x v="3"/>
    <x v="0"/>
    <x v="2"/>
    <x v="0"/>
    <x v="1"/>
    <x v="2"/>
    <x v="6"/>
    <x v="3"/>
  </r>
  <r>
    <s v="TX501113"/>
    <x v="4"/>
    <x v="3"/>
    <n v="22.9"/>
    <n v="160.29999999999998"/>
    <x v="43"/>
    <x v="42"/>
    <x v="2"/>
    <x v="0"/>
    <x v="0"/>
    <x v="0"/>
    <x v="42"/>
    <x v="3"/>
    <x v="6"/>
    <x v="2"/>
  </r>
  <r>
    <s v="TX501114"/>
    <x v="8"/>
    <x v="7"/>
    <n v="25.5"/>
    <n v="255"/>
    <x v="43"/>
    <x v="49"/>
    <x v="2"/>
    <x v="0"/>
    <x v="0"/>
    <x v="0"/>
    <x v="33"/>
    <x v="6"/>
    <x v="6"/>
    <x v="2"/>
  </r>
  <r>
    <s v="TX501115"/>
    <x v="17"/>
    <x v="2"/>
    <n v="23.4"/>
    <n v="70.199999999999989"/>
    <x v="43"/>
    <x v="43"/>
    <x v="2"/>
    <x v="0"/>
    <x v="2"/>
    <x v="0"/>
    <x v="3"/>
    <x v="5"/>
    <x v="6"/>
    <x v="2"/>
  </r>
  <r>
    <s v="TX501116"/>
    <x v="5"/>
    <x v="8"/>
    <n v="27.4"/>
    <n v="219.2"/>
    <x v="43"/>
    <x v="41"/>
    <x v="2"/>
    <x v="2"/>
    <x v="0"/>
    <x v="0"/>
    <x v="3"/>
    <x v="2"/>
    <x v="6"/>
    <x v="2"/>
  </r>
  <r>
    <s v="TX501117"/>
    <x v="5"/>
    <x v="9"/>
    <n v="68.400000000000006"/>
    <n v="342"/>
    <x v="43"/>
    <x v="42"/>
    <x v="2"/>
    <x v="0"/>
    <x v="0"/>
    <x v="0"/>
    <x v="3"/>
    <x v="3"/>
    <x v="6"/>
    <x v="2"/>
  </r>
  <r>
    <s v="TX501118"/>
    <x v="6"/>
    <x v="0"/>
    <n v="51.9"/>
    <n v="51.9"/>
    <x v="43"/>
    <x v="45"/>
    <x v="2"/>
    <x v="0"/>
    <x v="0"/>
    <x v="0"/>
    <x v="3"/>
    <x v="7"/>
    <x v="6"/>
    <x v="2"/>
  </r>
  <r>
    <s v="TX501119"/>
    <x v="0"/>
    <x v="9"/>
    <n v="26.4"/>
    <n v="132"/>
    <x v="43"/>
    <x v="41"/>
    <x v="2"/>
    <x v="0"/>
    <x v="2"/>
    <x v="0"/>
    <x v="3"/>
    <x v="2"/>
    <x v="6"/>
    <x v="2"/>
  </r>
  <r>
    <s v="TX501120"/>
    <x v="12"/>
    <x v="1"/>
    <n v="117"/>
    <n v="234"/>
    <x v="43"/>
    <x v="42"/>
    <x v="2"/>
    <x v="1"/>
    <x v="1"/>
    <x v="0"/>
    <x v="3"/>
    <x v="3"/>
    <x v="6"/>
    <x v="2"/>
  </r>
  <r>
    <s v="TX501121"/>
    <x v="7"/>
    <x v="2"/>
    <n v="49.6"/>
    <n v="148.80000000000001"/>
    <x v="44"/>
    <x v="41"/>
    <x v="2"/>
    <x v="0"/>
    <x v="0"/>
    <x v="0"/>
    <x v="3"/>
    <x v="1"/>
    <x v="6"/>
    <x v="2"/>
  </r>
  <r>
    <s v="TX501122"/>
    <x v="4"/>
    <x v="2"/>
    <n v="38"/>
    <n v="114"/>
    <x v="44"/>
    <x v="43"/>
    <x v="1"/>
    <x v="2"/>
    <x v="4"/>
    <x v="0"/>
    <x v="3"/>
    <x v="2"/>
    <x v="6"/>
    <x v="1"/>
  </r>
  <r>
    <s v="TX501123"/>
    <x v="0"/>
    <x v="2"/>
    <n v="20.6"/>
    <n v="61.800000000000004"/>
    <x v="44"/>
    <x v="41"/>
    <x v="2"/>
    <x v="4"/>
    <x v="2"/>
    <x v="0"/>
    <x v="3"/>
    <x v="1"/>
    <x v="6"/>
    <x v="2"/>
  </r>
  <r>
    <s v="TX501124"/>
    <x v="0"/>
    <x v="1"/>
    <n v="16"/>
    <n v="32"/>
    <x v="44"/>
    <x v="48"/>
    <x v="1"/>
    <x v="1"/>
    <x v="1"/>
    <x v="0"/>
    <x v="49"/>
    <x v="3"/>
    <x v="6"/>
    <x v="1"/>
  </r>
  <r>
    <s v="TX501125"/>
    <x v="15"/>
    <x v="12"/>
    <n v="49.3"/>
    <n v="197.2"/>
    <x v="44"/>
    <x v="48"/>
    <x v="2"/>
    <x v="2"/>
    <x v="0"/>
    <x v="0"/>
    <x v="23"/>
    <x v="3"/>
    <x v="6"/>
    <x v="2"/>
  </r>
  <r>
    <s v="TX501126"/>
    <x v="9"/>
    <x v="1"/>
    <n v="24.1"/>
    <n v="48.2"/>
    <x v="44"/>
    <x v="50"/>
    <x v="2"/>
    <x v="0"/>
    <x v="0"/>
    <x v="0"/>
    <x v="6"/>
    <x v="5"/>
    <x v="6"/>
    <x v="2"/>
  </r>
  <r>
    <s v="TX501127"/>
    <x v="15"/>
    <x v="8"/>
    <n v="32.700000000000003"/>
    <n v="261.60000000000002"/>
    <x v="44"/>
    <x v="48"/>
    <x v="2"/>
    <x v="1"/>
    <x v="0"/>
    <x v="0"/>
    <x v="6"/>
    <x v="3"/>
    <x v="6"/>
    <x v="2"/>
  </r>
  <r>
    <s v="TX501128"/>
    <x v="6"/>
    <x v="2"/>
    <n v="74.400000000000006"/>
    <n v="223.20000000000002"/>
    <x v="44"/>
    <x v="48"/>
    <x v="2"/>
    <x v="3"/>
    <x v="2"/>
    <x v="0"/>
    <x v="8"/>
    <x v="3"/>
    <x v="6"/>
    <x v="2"/>
  </r>
  <r>
    <s v="TX501129"/>
    <x v="12"/>
    <x v="0"/>
    <n v="45.6"/>
    <n v="45.6"/>
    <x v="44"/>
    <x v="50"/>
    <x v="2"/>
    <x v="4"/>
    <x v="0"/>
    <x v="0"/>
    <x v="8"/>
    <x v="5"/>
    <x v="6"/>
    <x v="2"/>
  </r>
  <r>
    <s v="TX501130"/>
    <x v="8"/>
    <x v="8"/>
    <n v="19.600000000000001"/>
    <n v="156.80000000000001"/>
    <x v="44"/>
    <x v="53"/>
    <x v="2"/>
    <x v="0"/>
    <x v="0"/>
    <x v="0"/>
    <x v="8"/>
    <x v="10"/>
    <x v="6"/>
    <x v="2"/>
  </r>
  <r>
    <s v="TX501131"/>
    <x v="9"/>
    <x v="0"/>
    <n v="51.8"/>
    <n v="51.8"/>
    <x v="44"/>
    <x v="48"/>
    <x v="2"/>
    <x v="1"/>
    <x v="0"/>
    <x v="0"/>
    <x v="8"/>
    <x v="3"/>
    <x v="6"/>
    <x v="2"/>
  </r>
  <r>
    <s v="TX501132"/>
    <x v="6"/>
    <x v="0"/>
    <n v="74.7"/>
    <n v="74.7"/>
    <x v="44"/>
    <x v="48"/>
    <x v="1"/>
    <x v="0"/>
    <x v="1"/>
    <x v="0"/>
    <x v="8"/>
    <x v="3"/>
    <x v="6"/>
    <x v="1"/>
  </r>
  <r>
    <s v="TX501133"/>
    <x v="19"/>
    <x v="2"/>
    <n v="22.4"/>
    <n v="67.199999999999989"/>
    <x v="44"/>
    <x v="48"/>
    <x v="2"/>
    <x v="1"/>
    <x v="2"/>
    <x v="0"/>
    <x v="9"/>
    <x v="3"/>
    <x v="6"/>
    <x v="2"/>
  </r>
  <r>
    <s v="TX501134"/>
    <x v="1"/>
    <x v="12"/>
    <n v="31.4"/>
    <n v="125.6"/>
    <x v="44"/>
    <x v="48"/>
    <x v="2"/>
    <x v="1"/>
    <x v="0"/>
    <x v="0"/>
    <x v="9"/>
    <x v="3"/>
    <x v="6"/>
    <x v="2"/>
  </r>
  <r>
    <s v="TX501135"/>
    <x v="6"/>
    <x v="0"/>
    <n v="94"/>
    <n v="94"/>
    <x v="44"/>
    <x v="42"/>
    <x v="2"/>
    <x v="1"/>
    <x v="2"/>
    <x v="0"/>
    <x v="10"/>
    <x v="7"/>
    <x v="6"/>
    <x v="2"/>
  </r>
  <r>
    <s v="TX501136"/>
    <x v="10"/>
    <x v="0"/>
    <n v="22.3"/>
    <n v="22.3"/>
    <x v="44"/>
    <x v="48"/>
    <x v="1"/>
    <x v="4"/>
    <x v="0"/>
    <x v="0"/>
    <x v="20"/>
    <x v="3"/>
    <x v="6"/>
    <x v="1"/>
  </r>
  <r>
    <s v="TX501137"/>
    <x v="0"/>
    <x v="0"/>
    <n v="21.9"/>
    <n v="21.9"/>
    <x v="44"/>
    <x v="43"/>
    <x v="2"/>
    <x v="2"/>
    <x v="0"/>
    <x v="0"/>
    <x v="21"/>
    <x v="2"/>
    <x v="6"/>
    <x v="2"/>
  </r>
  <r>
    <s v="TX501138"/>
    <x v="17"/>
    <x v="2"/>
    <n v="27"/>
    <n v="81"/>
    <x v="44"/>
    <x v="41"/>
    <x v="2"/>
    <x v="4"/>
    <x v="2"/>
    <x v="0"/>
    <x v="2"/>
    <x v="1"/>
    <x v="6"/>
    <x v="2"/>
  </r>
  <r>
    <s v="TX501139"/>
    <x v="2"/>
    <x v="12"/>
    <n v="149.6"/>
    <n v="598.4"/>
    <x v="44"/>
    <x v="42"/>
    <x v="2"/>
    <x v="4"/>
    <x v="0"/>
    <x v="0"/>
    <x v="22"/>
    <x v="7"/>
    <x v="6"/>
    <x v="2"/>
  </r>
  <r>
    <s v="TX501140"/>
    <x v="2"/>
    <x v="12"/>
    <n v="129.1"/>
    <n v="516.4"/>
    <x v="44"/>
    <x v="54"/>
    <x v="1"/>
    <x v="0"/>
    <x v="1"/>
    <x v="0"/>
    <x v="3"/>
    <x v="14"/>
    <x v="6"/>
    <x v="1"/>
  </r>
  <r>
    <s v="TX501141"/>
    <x v="1"/>
    <x v="4"/>
    <n v="40.4"/>
    <n v="484.79999999999995"/>
    <x v="44"/>
    <x v="48"/>
    <x v="1"/>
    <x v="1"/>
    <x v="1"/>
    <x v="0"/>
    <x v="3"/>
    <x v="3"/>
    <x v="6"/>
    <x v="1"/>
  </r>
  <r>
    <s v="TX501142"/>
    <x v="4"/>
    <x v="2"/>
    <n v="48.5"/>
    <n v="145.5"/>
    <x v="44"/>
    <x v="41"/>
    <x v="2"/>
    <x v="0"/>
    <x v="4"/>
    <x v="0"/>
    <x v="3"/>
    <x v="1"/>
    <x v="6"/>
    <x v="2"/>
  </r>
  <r>
    <s v="TX501143"/>
    <x v="9"/>
    <x v="1"/>
    <n v="37.6"/>
    <n v="75.2"/>
    <x v="44"/>
    <x v="41"/>
    <x v="2"/>
    <x v="1"/>
    <x v="2"/>
    <x v="0"/>
    <x v="3"/>
    <x v="1"/>
    <x v="6"/>
    <x v="2"/>
  </r>
  <r>
    <s v="TX501144"/>
    <x v="8"/>
    <x v="1"/>
    <n v="19.600000000000001"/>
    <n v="39.200000000000003"/>
    <x v="44"/>
    <x v="48"/>
    <x v="1"/>
    <x v="3"/>
    <x v="4"/>
    <x v="0"/>
    <x v="43"/>
    <x v="3"/>
    <x v="6"/>
    <x v="1"/>
  </r>
  <r>
    <s v="TX501145"/>
    <x v="8"/>
    <x v="9"/>
    <n v="18.5"/>
    <n v="92.5"/>
    <x v="44"/>
    <x v="48"/>
    <x v="2"/>
    <x v="2"/>
    <x v="1"/>
    <x v="0"/>
    <x v="6"/>
    <x v="3"/>
    <x v="6"/>
    <x v="2"/>
  </r>
  <r>
    <s v="TX501146"/>
    <x v="5"/>
    <x v="2"/>
    <n v="25.5"/>
    <n v="76.5"/>
    <x v="44"/>
    <x v="41"/>
    <x v="2"/>
    <x v="4"/>
    <x v="1"/>
    <x v="0"/>
    <x v="6"/>
    <x v="1"/>
    <x v="6"/>
    <x v="2"/>
  </r>
  <r>
    <s v="TX501147"/>
    <x v="2"/>
    <x v="1"/>
    <n v="94.7"/>
    <n v="189.4"/>
    <x v="44"/>
    <x v="48"/>
    <x v="2"/>
    <x v="2"/>
    <x v="0"/>
    <x v="0"/>
    <x v="36"/>
    <x v="3"/>
    <x v="6"/>
    <x v="2"/>
  </r>
  <r>
    <s v="TX501148"/>
    <x v="1"/>
    <x v="13"/>
    <n v="38.799999999999997"/>
    <n v="232.79999999999998"/>
    <x v="44"/>
    <x v="46"/>
    <x v="2"/>
    <x v="2"/>
    <x v="2"/>
    <x v="0"/>
    <x v="8"/>
    <x v="0"/>
    <x v="6"/>
    <x v="2"/>
  </r>
  <r>
    <s v="TX501149"/>
    <x v="9"/>
    <x v="1"/>
    <n v="49.4"/>
    <n v="98.8"/>
    <x v="45"/>
    <x v="55"/>
    <x v="1"/>
    <x v="4"/>
    <x v="1"/>
    <x v="0"/>
    <x v="8"/>
    <x v="9"/>
    <x v="6"/>
    <x v="1"/>
  </r>
  <r>
    <s v="TX501150"/>
    <x v="7"/>
    <x v="2"/>
    <n v="68"/>
    <n v="204"/>
    <x v="45"/>
    <x v="50"/>
    <x v="1"/>
    <x v="0"/>
    <x v="2"/>
    <x v="0"/>
    <x v="8"/>
    <x v="2"/>
    <x v="6"/>
    <x v="1"/>
  </r>
  <r>
    <s v="TX501151"/>
    <x v="15"/>
    <x v="3"/>
    <n v="63.7"/>
    <n v="445.90000000000003"/>
    <x v="45"/>
    <x v="41"/>
    <x v="2"/>
    <x v="2"/>
    <x v="2"/>
    <x v="0"/>
    <x v="8"/>
    <x v="3"/>
    <x v="6"/>
    <x v="2"/>
  </r>
  <r>
    <s v="TX501152"/>
    <x v="10"/>
    <x v="1"/>
    <n v="66.2"/>
    <n v="132.4"/>
    <x v="45"/>
    <x v="41"/>
    <x v="2"/>
    <x v="4"/>
    <x v="2"/>
    <x v="0"/>
    <x v="17"/>
    <x v="3"/>
    <x v="6"/>
    <x v="2"/>
  </r>
  <r>
    <s v="TX501153"/>
    <x v="12"/>
    <x v="2"/>
    <n v="32.299999999999997"/>
    <n v="96.899999999999991"/>
    <x v="45"/>
    <x v="41"/>
    <x v="3"/>
    <x v="2"/>
    <x v="1"/>
    <x v="0"/>
    <x v="9"/>
    <x v="3"/>
    <x v="6"/>
    <x v="3"/>
  </r>
  <r>
    <s v="TX501154"/>
    <x v="4"/>
    <x v="1"/>
    <n v="66.900000000000006"/>
    <n v="133.80000000000001"/>
    <x v="45"/>
    <x v="50"/>
    <x v="1"/>
    <x v="1"/>
    <x v="0"/>
    <x v="0"/>
    <x v="11"/>
    <x v="2"/>
    <x v="6"/>
    <x v="1"/>
  </r>
  <r>
    <s v="TX501155"/>
    <x v="4"/>
    <x v="4"/>
    <n v="25.2"/>
    <n v="302.39999999999998"/>
    <x v="45"/>
    <x v="46"/>
    <x v="2"/>
    <x v="0"/>
    <x v="1"/>
    <x v="0"/>
    <x v="11"/>
    <x v="5"/>
    <x v="6"/>
    <x v="2"/>
  </r>
  <r>
    <s v="TX501156"/>
    <x v="10"/>
    <x v="13"/>
    <n v="29.5"/>
    <n v="177"/>
    <x v="45"/>
    <x v="41"/>
    <x v="1"/>
    <x v="2"/>
    <x v="0"/>
    <x v="0"/>
    <x v="11"/>
    <x v="3"/>
    <x v="6"/>
    <x v="1"/>
  </r>
  <r>
    <s v="TX501157"/>
    <x v="8"/>
    <x v="9"/>
    <n v="21.6"/>
    <n v="108"/>
    <x v="45"/>
    <x v="43"/>
    <x v="2"/>
    <x v="0"/>
    <x v="2"/>
    <x v="0"/>
    <x v="32"/>
    <x v="1"/>
    <x v="6"/>
    <x v="2"/>
  </r>
  <r>
    <s v="TX501158"/>
    <x v="12"/>
    <x v="2"/>
    <n v="69"/>
    <n v="207"/>
    <x v="45"/>
    <x v="41"/>
    <x v="2"/>
    <x v="0"/>
    <x v="0"/>
    <x v="0"/>
    <x v="18"/>
    <x v="3"/>
    <x v="6"/>
    <x v="2"/>
  </r>
  <r>
    <s v="TX501159"/>
    <x v="7"/>
    <x v="1"/>
    <n v="115"/>
    <n v="230"/>
    <x v="45"/>
    <x v="46"/>
    <x v="1"/>
    <x v="0"/>
    <x v="2"/>
    <x v="0"/>
    <x v="18"/>
    <x v="5"/>
    <x v="6"/>
    <x v="1"/>
  </r>
  <r>
    <s v="TX501160"/>
    <x v="2"/>
    <x v="1"/>
    <n v="109.3"/>
    <n v="218.6"/>
    <x v="45"/>
    <x v="43"/>
    <x v="0"/>
    <x v="3"/>
    <x v="1"/>
    <x v="0"/>
    <x v="19"/>
    <x v="1"/>
    <x v="6"/>
    <x v="0"/>
  </r>
  <r>
    <s v="TX501161"/>
    <x v="9"/>
    <x v="1"/>
    <n v="66.599999999999994"/>
    <n v="133.19999999999999"/>
    <x v="45"/>
    <x v="50"/>
    <x v="0"/>
    <x v="4"/>
    <x v="1"/>
    <x v="0"/>
    <x v="19"/>
    <x v="2"/>
    <x v="6"/>
    <x v="0"/>
  </r>
  <r>
    <s v="TX501162"/>
    <x v="12"/>
    <x v="9"/>
    <n v="47.7"/>
    <n v="238.5"/>
    <x v="45"/>
    <x v="41"/>
    <x v="1"/>
    <x v="3"/>
    <x v="2"/>
    <x v="0"/>
    <x v="21"/>
    <x v="3"/>
    <x v="6"/>
    <x v="1"/>
  </r>
  <r>
    <s v="TX501163"/>
    <x v="8"/>
    <x v="1"/>
    <n v="46"/>
    <n v="92"/>
    <x v="45"/>
    <x v="41"/>
    <x v="2"/>
    <x v="4"/>
    <x v="4"/>
    <x v="0"/>
    <x v="22"/>
    <x v="3"/>
    <x v="6"/>
    <x v="2"/>
  </r>
  <r>
    <s v="TX501164"/>
    <x v="1"/>
    <x v="13"/>
    <n v="39.299999999999997"/>
    <n v="235.79999999999998"/>
    <x v="45"/>
    <x v="43"/>
    <x v="1"/>
    <x v="3"/>
    <x v="2"/>
    <x v="0"/>
    <x v="3"/>
    <x v="1"/>
    <x v="6"/>
    <x v="1"/>
  </r>
  <r>
    <s v="TX501165"/>
    <x v="9"/>
    <x v="0"/>
    <n v="70.2"/>
    <n v="70.2"/>
    <x v="45"/>
    <x v="41"/>
    <x v="2"/>
    <x v="0"/>
    <x v="4"/>
    <x v="0"/>
    <x v="3"/>
    <x v="3"/>
    <x v="6"/>
    <x v="2"/>
  </r>
  <r>
    <s v="TX501166"/>
    <x v="3"/>
    <x v="12"/>
    <n v="71.5"/>
    <n v="286"/>
    <x v="45"/>
    <x v="48"/>
    <x v="2"/>
    <x v="1"/>
    <x v="2"/>
    <x v="0"/>
    <x v="3"/>
    <x v="7"/>
    <x v="6"/>
    <x v="2"/>
  </r>
  <r>
    <s v="TX501167"/>
    <x v="10"/>
    <x v="3"/>
    <n v="31"/>
    <n v="217"/>
    <x v="45"/>
    <x v="56"/>
    <x v="2"/>
    <x v="3"/>
    <x v="2"/>
    <x v="0"/>
    <x v="3"/>
    <x v="6"/>
    <x v="6"/>
    <x v="2"/>
  </r>
  <r>
    <s v="TX501168"/>
    <x v="2"/>
    <x v="9"/>
    <n v="68.2"/>
    <n v="341"/>
    <x v="45"/>
    <x v="49"/>
    <x v="2"/>
    <x v="0"/>
    <x v="2"/>
    <x v="0"/>
    <x v="3"/>
    <x v="0"/>
    <x v="6"/>
    <x v="2"/>
  </r>
  <r>
    <s v="TX501169"/>
    <x v="2"/>
    <x v="0"/>
    <n v="91.4"/>
    <n v="91.4"/>
    <x v="45"/>
    <x v="46"/>
    <x v="2"/>
    <x v="1"/>
    <x v="2"/>
    <x v="0"/>
    <x v="6"/>
    <x v="5"/>
    <x v="6"/>
    <x v="2"/>
  </r>
  <r>
    <s v="TX501170"/>
    <x v="6"/>
    <x v="7"/>
    <n v="112.9"/>
    <n v="1129"/>
    <x v="45"/>
    <x v="41"/>
    <x v="2"/>
    <x v="0"/>
    <x v="0"/>
    <x v="0"/>
    <x v="6"/>
    <x v="3"/>
    <x v="6"/>
    <x v="2"/>
  </r>
  <r>
    <s v="TX501171"/>
    <x v="17"/>
    <x v="11"/>
    <n v="33.700000000000003"/>
    <n v="303.3"/>
    <x v="45"/>
    <x v="41"/>
    <x v="2"/>
    <x v="1"/>
    <x v="2"/>
    <x v="0"/>
    <x v="8"/>
    <x v="3"/>
    <x v="6"/>
    <x v="2"/>
  </r>
  <r>
    <s v="TX501172"/>
    <x v="15"/>
    <x v="7"/>
    <n v="35.299999999999997"/>
    <n v="353"/>
    <x v="45"/>
    <x v="43"/>
    <x v="1"/>
    <x v="2"/>
    <x v="0"/>
    <x v="0"/>
    <x v="8"/>
    <x v="1"/>
    <x v="6"/>
    <x v="1"/>
  </r>
  <r>
    <s v="TX501173"/>
    <x v="18"/>
    <x v="2"/>
    <n v="45.6"/>
    <n v="136.80000000000001"/>
    <x v="45"/>
    <x v="46"/>
    <x v="1"/>
    <x v="3"/>
    <x v="0"/>
    <x v="0"/>
    <x v="8"/>
    <x v="5"/>
    <x v="6"/>
    <x v="1"/>
  </r>
  <r>
    <s v="TX501174"/>
    <x v="7"/>
    <x v="3"/>
    <n v="47.1"/>
    <n v="329.7"/>
    <x v="45"/>
    <x v="41"/>
    <x v="2"/>
    <x v="4"/>
    <x v="2"/>
    <x v="0"/>
    <x v="9"/>
    <x v="3"/>
    <x v="6"/>
    <x v="2"/>
  </r>
  <r>
    <s v="TX501175"/>
    <x v="8"/>
    <x v="9"/>
    <n v="16.2"/>
    <n v="81"/>
    <x v="45"/>
    <x v="43"/>
    <x v="2"/>
    <x v="3"/>
    <x v="2"/>
    <x v="0"/>
    <x v="19"/>
    <x v="1"/>
    <x v="6"/>
    <x v="2"/>
  </r>
  <r>
    <s v="TX501176"/>
    <x v="1"/>
    <x v="1"/>
    <n v="159.69999999999999"/>
    <n v="319.39999999999998"/>
    <x v="46"/>
    <x v="43"/>
    <x v="1"/>
    <x v="4"/>
    <x v="0"/>
    <x v="0"/>
    <x v="13"/>
    <x v="3"/>
    <x v="7"/>
    <x v="1"/>
  </r>
  <r>
    <s v="TX501177"/>
    <x v="8"/>
    <x v="12"/>
    <n v="19"/>
    <n v="76"/>
    <x v="46"/>
    <x v="55"/>
    <x v="2"/>
    <x v="2"/>
    <x v="2"/>
    <x v="0"/>
    <x v="21"/>
    <x v="6"/>
    <x v="7"/>
    <x v="2"/>
  </r>
  <r>
    <s v="TX501178"/>
    <x v="6"/>
    <x v="13"/>
    <n v="91.1"/>
    <n v="546.59999999999991"/>
    <x v="46"/>
    <x v="51"/>
    <x v="2"/>
    <x v="4"/>
    <x v="0"/>
    <x v="0"/>
    <x v="21"/>
    <x v="8"/>
    <x v="7"/>
    <x v="2"/>
  </r>
  <r>
    <s v="TX501179"/>
    <x v="2"/>
    <x v="9"/>
    <n v="94.1"/>
    <n v="470.5"/>
    <x v="46"/>
    <x v="46"/>
    <x v="0"/>
    <x v="1"/>
    <x v="1"/>
    <x v="0"/>
    <x v="21"/>
    <x v="2"/>
    <x v="7"/>
    <x v="0"/>
  </r>
  <r>
    <s v="TX501180"/>
    <x v="9"/>
    <x v="11"/>
    <n v="21.1"/>
    <n v="189.9"/>
    <x v="46"/>
    <x v="43"/>
    <x v="2"/>
    <x v="4"/>
    <x v="2"/>
    <x v="0"/>
    <x v="51"/>
    <x v="3"/>
    <x v="7"/>
    <x v="2"/>
  </r>
  <r>
    <s v="TX501181"/>
    <x v="8"/>
    <x v="3"/>
    <n v="15.3"/>
    <n v="107.10000000000001"/>
    <x v="46"/>
    <x v="54"/>
    <x v="2"/>
    <x v="2"/>
    <x v="0"/>
    <x v="0"/>
    <x v="1"/>
    <x v="9"/>
    <x v="7"/>
    <x v="2"/>
  </r>
  <r>
    <s v="TX501182"/>
    <x v="15"/>
    <x v="12"/>
    <n v="21.3"/>
    <n v="85.2"/>
    <x v="46"/>
    <x v="46"/>
    <x v="1"/>
    <x v="1"/>
    <x v="0"/>
    <x v="0"/>
    <x v="3"/>
    <x v="2"/>
    <x v="7"/>
    <x v="1"/>
  </r>
  <r>
    <s v="TX501183"/>
    <x v="0"/>
    <x v="1"/>
    <n v="23.2"/>
    <n v="46.4"/>
    <x v="46"/>
    <x v="41"/>
    <x v="0"/>
    <x v="3"/>
    <x v="1"/>
    <x v="0"/>
    <x v="3"/>
    <x v="7"/>
    <x v="7"/>
    <x v="0"/>
  </r>
  <r>
    <s v="TX501184"/>
    <x v="4"/>
    <x v="2"/>
    <n v="25.7"/>
    <n v="77.099999999999994"/>
    <x v="46"/>
    <x v="43"/>
    <x v="1"/>
    <x v="4"/>
    <x v="0"/>
    <x v="0"/>
    <x v="3"/>
    <x v="3"/>
    <x v="7"/>
    <x v="1"/>
  </r>
  <r>
    <s v="TX501185"/>
    <x v="0"/>
    <x v="11"/>
    <n v="31.6"/>
    <n v="284.40000000000003"/>
    <x v="46"/>
    <x v="50"/>
    <x v="2"/>
    <x v="0"/>
    <x v="0"/>
    <x v="0"/>
    <x v="3"/>
    <x v="1"/>
    <x v="7"/>
    <x v="2"/>
  </r>
  <r>
    <s v="TX501186"/>
    <x v="6"/>
    <x v="0"/>
    <n v="64.2"/>
    <n v="64.2"/>
    <x v="46"/>
    <x v="47"/>
    <x v="1"/>
    <x v="0"/>
    <x v="0"/>
    <x v="0"/>
    <x v="3"/>
    <x v="0"/>
    <x v="7"/>
    <x v="1"/>
  </r>
  <r>
    <s v="TX501187"/>
    <x v="8"/>
    <x v="1"/>
    <n v="55.8"/>
    <n v="111.6"/>
    <x v="46"/>
    <x v="50"/>
    <x v="0"/>
    <x v="0"/>
    <x v="0"/>
    <x v="0"/>
    <x v="3"/>
    <x v="1"/>
    <x v="7"/>
    <x v="0"/>
  </r>
  <r>
    <s v="TX501188"/>
    <x v="8"/>
    <x v="1"/>
    <n v="28.1"/>
    <n v="56.2"/>
    <x v="46"/>
    <x v="43"/>
    <x v="2"/>
    <x v="4"/>
    <x v="1"/>
    <x v="0"/>
    <x v="3"/>
    <x v="3"/>
    <x v="7"/>
    <x v="2"/>
  </r>
  <r>
    <s v="TX501189"/>
    <x v="0"/>
    <x v="1"/>
    <n v="11.6"/>
    <n v="23.2"/>
    <x v="46"/>
    <x v="50"/>
    <x v="2"/>
    <x v="1"/>
    <x v="0"/>
    <x v="0"/>
    <x v="24"/>
    <x v="1"/>
    <x v="7"/>
    <x v="2"/>
  </r>
  <r>
    <s v="TX501190"/>
    <x v="5"/>
    <x v="2"/>
    <n v="50.4"/>
    <n v="151.19999999999999"/>
    <x v="46"/>
    <x v="43"/>
    <x v="1"/>
    <x v="4"/>
    <x v="2"/>
    <x v="0"/>
    <x v="25"/>
    <x v="3"/>
    <x v="7"/>
    <x v="1"/>
  </r>
  <r>
    <s v="TX501191"/>
    <x v="6"/>
    <x v="13"/>
    <n v="48.3"/>
    <n v="289.79999999999995"/>
    <x v="46"/>
    <x v="49"/>
    <x v="2"/>
    <x v="0"/>
    <x v="0"/>
    <x v="0"/>
    <x v="25"/>
    <x v="5"/>
    <x v="7"/>
    <x v="2"/>
  </r>
  <r>
    <s v="TX501192"/>
    <x v="17"/>
    <x v="3"/>
    <n v="32.200000000000003"/>
    <n v="225.40000000000003"/>
    <x v="46"/>
    <x v="50"/>
    <x v="2"/>
    <x v="2"/>
    <x v="0"/>
    <x v="0"/>
    <x v="25"/>
    <x v="1"/>
    <x v="7"/>
    <x v="2"/>
  </r>
  <r>
    <s v="TX501193"/>
    <x v="7"/>
    <x v="31"/>
    <n v="48.5"/>
    <n v="1358"/>
    <x v="46"/>
    <x v="43"/>
    <x v="1"/>
    <x v="0"/>
    <x v="0"/>
    <x v="0"/>
    <x v="5"/>
    <x v="3"/>
    <x v="7"/>
    <x v="1"/>
  </r>
  <r>
    <s v="TX501194"/>
    <x v="2"/>
    <x v="9"/>
    <n v="62"/>
    <n v="310"/>
    <x v="46"/>
    <x v="46"/>
    <x v="2"/>
    <x v="1"/>
    <x v="0"/>
    <x v="0"/>
    <x v="6"/>
    <x v="2"/>
    <x v="7"/>
    <x v="2"/>
  </r>
  <r>
    <s v="TX501195"/>
    <x v="8"/>
    <x v="2"/>
    <n v="32.1"/>
    <n v="96.300000000000011"/>
    <x v="47"/>
    <x v="46"/>
    <x v="1"/>
    <x v="0"/>
    <x v="0"/>
    <x v="0"/>
    <x v="6"/>
    <x v="1"/>
    <x v="7"/>
    <x v="1"/>
  </r>
  <r>
    <s v="TX501196"/>
    <x v="12"/>
    <x v="2"/>
    <n v="106.1"/>
    <n v="318.29999999999995"/>
    <x v="47"/>
    <x v="46"/>
    <x v="1"/>
    <x v="0"/>
    <x v="1"/>
    <x v="0"/>
    <x v="7"/>
    <x v="1"/>
    <x v="7"/>
    <x v="1"/>
  </r>
  <r>
    <s v="TX501197"/>
    <x v="10"/>
    <x v="2"/>
    <n v="23.5"/>
    <n v="70.5"/>
    <x v="47"/>
    <x v="49"/>
    <x v="1"/>
    <x v="0"/>
    <x v="4"/>
    <x v="0"/>
    <x v="7"/>
    <x v="2"/>
    <x v="7"/>
    <x v="1"/>
  </r>
  <r>
    <s v="TX501198"/>
    <x v="1"/>
    <x v="1"/>
    <n v="35.6"/>
    <n v="71.2"/>
    <x v="47"/>
    <x v="56"/>
    <x v="1"/>
    <x v="4"/>
    <x v="0"/>
    <x v="0"/>
    <x v="8"/>
    <x v="0"/>
    <x v="7"/>
    <x v="1"/>
  </r>
  <r>
    <s v="TX501199"/>
    <x v="1"/>
    <x v="1"/>
    <n v="63.5"/>
    <n v="127"/>
    <x v="47"/>
    <x v="43"/>
    <x v="2"/>
    <x v="1"/>
    <x v="2"/>
    <x v="0"/>
    <x v="8"/>
    <x v="7"/>
    <x v="7"/>
    <x v="2"/>
  </r>
  <r>
    <s v="TX501200"/>
    <x v="6"/>
    <x v="3"/>
    <n v="82.9"/>
    <n v="580.30000000000007"/>
    <x v="47"/>
    <x v="56"/>
    <x v="2"/>
    <x v="4"/>
    <x v="0"/>
    <x v="0"/>
    <x v="9"/>
    <x v="0"/>
    <x v="7"/>
    <x v="2"/>
  </r>
  <r>
    <s v="TX501201"/>
    <x v="6"/>
    <x v="1"/>
    <n v="83.6"/>
    <n v="167.2"/>
    <x v="47"/>
    <x v="56"/>
    <x v="2"/>
    <x v="0"/>
    <x v="0"/>
    <x v="0"/>
    <x v="11"/>
    <x v="0"/>
    <x v="7"/>
    <x v="2"/>
  </r>
  <r>
    <s v="TX501202"/>
    <x v="4"/>
    <x v="1"/>
    <n v="29.4"/>
    <n v="58.8"/>
    <x v="47"/>
    <x v="43"/>
    <x v="2"/>
    <x v="0"/>
    <x v="1"/>
    <x v="0"/>
    <x v="30"/>
    <x v="7"/>
    <x v="7"/>
    <x v="2"/>
  </r>
  <r>
    <s v="TX501203"/>
    <x v="2"/>
    <x v="2"/>
    <n v="107.1"/>
    <n v="321.29999999999995"/>
    <x v="47"/>
    <x v="47"/>
    <x v="2"/>
    <x v="2"/>
    <x v="0"/>
    <x v="0"/>
    <x v="20"/>
    <x v="5"/>
    <x v="7"/>
    <x v="2"/>
  </r>
  <r>
    <s v="TX501204"/>
    <x v="2"/>
    <x v="0"/>
    <n v="62.7"/>
    <n v="62.7"/>
    <x v="47"/>
    <x v="47"/>
    <x v="1"/>
    <x v="1"/>
    <x v="0"/>
    <x v="0"/>
    <x v="21"/>
    <x v="5"/>
    <x v="7"/>
    <x v="1"/>
  </r>
  <r>
    <s v="TX501205"/>
    <x v="11"/>
    <x v="0"/>
    <n v="41.6"/>
    <n v="41.6"/>
    <x v="47"/>
    <x v="50"/>
    <x v="1"/>
    <x v="0"/>
    <x v="1"/>
    <x v="0"/>
    <x v="1"/>
    <x v="3"/>
    <x v="7"/>
    <x v="1"/>
  </r>
  <r>
    <s v="TX501206"/>
    <x v="6"/>
    <x v="0"/>
    <n v="44.2"/>
    <n v="44.2"/>
    <x v="47"/>
    <x v="50"/>
    <x v="3"/>
    <x v="0"/>
    <x v="1"/>
    <x v="0"/>
    <x v="1"/>
    <x v="3"/>
    <x v="7"/>
    <x v="3"/>
  </r>
  <r>
    <s v="TX501207"/>
    <x v="4"/>
    <x v="13"/>
    <n v="40.4"/>
    <n v="242.39999999999998"/>
    <x v="47"/>
    <x v="57"/>
    <x v="2"/>
    <x v="2"/>
    <x v="0"/>
    <x v="0"/>
    <x v="22"/>
    <x v="10"/>
    <x v="7"/>
    <x v="2"/>
  </r>
  <r>
    <s v="TX501208"/>
    <x v="15"/>
    <x v="13"/>
    <n v="59.6"/>
    <n v="357.6"/>
    <x v="47"/>
    <x v="50"/>
    <x v="2"/>
    <x v="4"/>
    <x v="0"/>
    <x v="0"/>
    <x v="34"/>
    <x v="3"/>
    <x v="7"/>
    <x v="2"/>
  </r>
  <r>
    <s v="TX501209"/>
    <x v="17"/>
    <x v="4"/>
    <n v="63.8"/>
    <n v="765.59999999999991"/>
    <x v="47"/>
    <x v="50"/>
    <x v="1"/>
    <x v="1"/>
    <x v="0"/>
    <x v="0"/>
    <x v="3"/>
    <x v="3"/>
    <x v="7"/>
    <x v="1"/>
  </r>
  <r>
    <s v="TX501210"/>
    <x v="9"/>
    <x v="13"/>
    <n v="30.8"/>
    <n v="184.8"/>
    <x v="47"/>
    <x v="46"/>
    <x v="1"/>
    <x v="4"/>
    <x v="0"/>
    <x v="0"/>
    <x v="3"/>
    <x v="1"/>
    <x v="7"/>
    <x v="1"/>
  </r>
  <r>
    <s v="TX501211"/>
    <x v="1"/>
    <x v="1"/>
    <n v="41.5"/>
    <n v="83"/>
    <x v="47"/>
    <x v="49"/>
    <x v="3"/>
    <x v="0"/>
    <x v="0"/>
    <x v="0"/>
    <x v="3"/>
    <x v="2"/>
    <x v="7"/>
    <x v="3"/>
  </r>
  <r>
    <s v="TX501212"/>
    <x v="10"/>
    <x v="12"/>
    <n v="44.7"/>
    <n v="178.8"/>
    <x v="47"/>
    <x v="46"/>
    <x v="2"/>
    <x v="2"/>
    <x v="1"/>
    <x v="0"/>
    <x v="3"/>
    <x v="1"/>
    <x v="7"/>
    <x v="2"/>
  </r>
  <r>
    <s v="TX501213"/>
    <x v="12"/>
    <x v="1"/>
    <n v="64.099999999999994"/>
    <n v="128.19999999999999"/>
    <x v="47"/>
    <x v="47"/>
    <x v="2"/>
    <x v="1"/>
    <x v="4"/>
    <x v="0"/>
    <x v="3"/>
    <x v="5"/>
    <x v="7"/>
    <x v="2"/>
  </r>
  <r>
    <s v="TX501214"/>
    <x v="8"/>
    <x v="0"/>
    <n v="15.9"/>
    <n v="15.9"/>
    <x v="47"/>
    <x v="49"/>
    <x v="0"/>
    <x v="1"/>
    <x v="0"/>
    <x v="0"/>
    <x v="3"/>
    <x v="2"/>
    <x v="7"/>
    <x v="0"/>
  </r>
  <r>
    <s v="TX501215"/>
    <x v="6"/>
    <x v="1"/>
    <n v="78.7"/>
    <n v="157.4"/>
    <x v="47"/>
    <x v="43"/>
    <x v="2"/>
    <x v="2"/>
    <x v="1"/>
    <x v="0"/>
    <x v="3"/>
    <x v="7"/>
    <x v="7"/>
    <x v="2"/>
  </r>
  <r>
    <s v="TX501216"/>
    <x v="5"/>
    <x v="4"/>
    <n v="29.6"/>
    <n v="355.20000000000005"/>
    <x v="47"/>
    <x v="47"/>
    <x v="1"/>
    <x v="2"/>
    <x v="4"/>
    <x v="0"/>
    <x v="3"/>
    <x v="5"/>
    <x v="7"/>
    <x v="1"/>
  </r>
  <r>
    <s v="TX501217"/>
    <x v="8"/>
    <x v="12"/>
    <n v="21.5"/>
    <n v="86"/>
    <x v="47"/>
    <x v="49"/>
    <x v="1"/>
    <x v="1"/>
    <x v="0"/>
    <x v="0"/>
    <x v="3"/>
    <x v="2"/>
    <x v="7"/>
    <x v="1"/>
  </r>
  <r>
    <s v="TX501218"/>
    <x v="9"/>
    <x v="2"/>
    <n v="74.900000000000006"/>
    <n v="224.70000000000002"/>
    <x v="47"/>
    <x v="52"/>
    <x v="1"/>
    <x v="3"/>
    <x v="1"/>
    <x v="0"/>
    <x v="3"/>
    <x v="8"/>
    <x v="7"/>
    <x v="1"/>
  </r>
  <r>
    <s v="TX501219"/>
    <x v="10"/>
    <x v="13"/>
    <n v="45"/>
    <n v="270"/>
    <x v="47"/>
    <x v="56"/>
    <x v="2"/>
    <x v="2"/>
    <x v="0"/>
    <x v="0"/>
    <x v="3"/>
    <x v="0"/>
    <x v="7"/>
    <x v="2"/>
  </r>
  <r>
    <s v="TX501220"/>
    <x v="7"/>
    <x v="33"/>
    <n v="37.9"/>
    <n v="1288.5999999999999"/>
    <x v="47"/>
    <x v="50"/>
    <x v="1"/>
    <x v="0"/>
    <x v="0"/>
    <x v="0"/>
    <x v="3"/>
    <x v="3"/>
    <x v="7"/>
    <x v="1"/>
  </r>
  <r>
    <s v="TX501221"/>
    <x v="6"/>
    <x v="2"/>
    <n v="56.6"/>
    <n v="169.8"/>
    <x v="47"/>
    <x v="50"/>
    <x v="1"/>
    <x v="3"/>
    <x v="0"/>
    <x v="0"/>
    <x v="3"/>
    <x v="3"/>
    <x v="7"/>
    <x v="1"/>
  </r>
  <r>
    <s v="TX501222"/>
    <x v="3"/>
    <x v="15"/>
    <n v="84.5"/>
    <n v="1098.5"/>
    <x v="47"/>
    <x v="49"/>
    <x v="2"/>
    <x v="1"/>
    <x v="4"/>
    <x v="0"/>
    <x v="3"/>
    <x v="2"/>
    <x v="7"/>
    <x v="2"/>
  </r>
  <r>
    <s v="TX501223"/>
    <x v="2"/>
    <x v="9"/>
    <n v="105.4"/>
    <n v="527"/>
    <x v="47"/>
    <x v="46"/>
    <x v="2"/>
    <x v="1"/>
    <x v="1"/>
    <x v="0"/>
    <x v="3"/>
    <x v="1"/>
    <x v="7"/>
    <x v="2"/>
  </r>
  <r>
    <s v="TX501224"/>
    <x v="18"/>
    <x v="3"/>
    <n v="39.4"/>
    <n v="275.8"/>
    <x v="48"/>
    <x v="50"/>
    <x v="1"/>
    <x v="1"/>
    <x v="0"/>
    <x v="0"/>
    <x v="37"/>
    <x v="7"/>
    <x v="7"/>
    <x v="1"/>
  </r>
  <r>
    <s v="TX501225"/>
    <x v="19"/>
    <x v="2"/>
    <n v="38"/>
    <n v="114"/>
    <x v="48"/>
    <x v="47"/>
    <x v="1"/>
    <x v="4"/>
    <x v="1"/>
    <x v="0"/>
    <x v="6"/>
    <x v="2"/>
    <x v="7"/>
    <x v="1"/>
  </r>
  <r>
    <s v="TX501226"/>
    <x v="17"/>
    <x v="12"/>
    <n v="42.5"/>
    <n v="170"/>
    <x v="48"/>
    <x v="49"/>
    <x v="0"/>
    <x v="0"/>
    <x v="0"/>
    <x v="0"/>
    <x v="6"/>
    <x v="1"/>
    <x v="7"/>
    <x v="0"/>
  </r>
  <r>
    <s v="TX501227"/>
    <x v="15"/>
    <x v="0"/>
    <n v="62.3"/>
    <n v="62.3"/>
    <x v="48"/>
    <x v="53"/>
    <x v="1"/>
    <x v="0"/>
    <x v="2"/>
    <x v="0"/>
    <x v="6"/>
    <x v="8"/>
    <x v="7"/>
    <x v="1"/>
  </r>
  <r>
    <s v="TX501228"/>
    <x v="6"/>
    <x v="9"/>
    <n v="49.1"/>
    <n v="245.5"/>
    <x v="48"/>
    <x v="49"/>
    <x v="2"/>
    <x v="1"/>
    <x v="2"/>
    <x v="0"/>
    <x v="7"/>
    <x v="1"/>
    <x v="7"/>
    <x v="2"/>
  </r>
  <r>
    <s v="TX501229"/>
    <x v="3"/>
    <x v="1"/>
    <n v="30.5"/>
    <n v="61"/>
    <x v="48"/>
    <x v="47"/>
    <x v="1"/>
    <x v="0"/>
    <x v="2"/>
    <x v="0"/>
    <x v="8"/>
    <x v="2"/>
    <x v="7"/>
    <x v="1"/>
  </r>
  <r>
    <s v="TX501230"/>
    <x v="2"/>
    <x v="1"/>
    <n v="154.80000000000001"/>
    <n v="309.60000000000002"/>
    <x v="48"/>
    <x v="47"/>
    <x v="2"/>
    <x v="1"/>
    <x v="4"/>
    <x v="0"/>
    <x v="8"/>
    <x v="2"/>
    <x v="7"/>
    <x v="2"/>
  </r>
  <r>
    <s v="TX501231"/>
    <x v="6"/>
    <x v="0"/>
    <n v="45"/>
    <n v="45"/>
    <x v="48"/>
    <x v="56"/>
    <x v="1"/>
    <x v="3"/>
    <x v="1"/>
    <x v="0"/>
    <x v="8"/>
    <x v="5"/>
    <x v="7"/>
    <x v="1"/>
  </r>
  <r>
    <s v="TX501232"/>
    <x v="0"/>
    <x v="3"/>
    <n v="15.3"/>
    <n v="107.10000000000001"/>
    <x v="48"/>
    <x v="46"/>
    <x v="1"/>
    <x v="0"/>
    <x v="2"/>
    <x v="0"/>
    <x v="8"/>
    <x v="3"/>
    <x v="7"/>
    <x v="1"/>
  </r>
  <r>
    <s v="TX501233"/>
    <x v="2"/>
    <x v="5"/>
    <n v="88.6"/>
    <n v="974.59999999999991"/>
    <x v="48"/>
    <x v="47"/>
    <x v="2"/>
    <x v="0"/>
    <x v="4"/>
    <x v="0"/>
    <x v="17"/>
    <x v="2"/>
    <x v="7"/>
    <x v="2"/>
  </r>
  <r>
    <s v="TX501234"/>
    <x v="9"/>
    <x v="1"/>
    <n v="49.7"/>
    <n v="99.4"/>
    <x v="48"/>
    <x v="49"/>
    <x v="3"/>
    <x v="4"/>
    <x v="0"/>
    <x v="0"/>
    <x v="10"/>
    <x v="1"/>
    <x v="7"/>
    <x v="3"/>
  </r>
  <r>
    <s v="TX501235"/>
    <x v="10"/>
    <x v="0"/>
    <n v="29"/>
    <n v="29"/>
    <x v="48"/>
    <x v="46"/>
    <x v="1"/>
    <x v="0"/>
    <x v="0"/>
    <x v="0"/>
    <x v="11"/>
    <x v="3"/>
    <x v="7"/>
    <x v="1"/>
  </r>
  <r>
    <s v="TX501236"/>
    <x v="1"/>
    <x v="0"/>
    <n v="60.7"/>
    <n v="60.7"/>
    <x v="48"/>
    <x v="46"/>
    <x v="3"/>
    <x v="0"/>
    <x v="1"/>
    <x v="0"/>
    <x v="11"/>
    <x v="3"/>
    <x v="7"/>
    <x v="3"/>
  </r>
  <r>
    <s v="TX501237"/>
    <x v="17"/>
    <x v="12"/>
    <n v="87.4"/>
    <n v="349.6"/>
    <x v="48"/>
    <x v="49"/>
    <x v="0"/>
    <x v="0"/>
    <x v="0"/>
    <x v="0"/>
    <x v="11"/>
    <x v="1"/>
    <x v="7"/>
    <x v="0"/>
  </r>
  <r>
    <s v="TX501238"/>
    <x v="4"/>
    <x v="3"/>
    <n v="44.5"/>
    <n v="311.5"/>
    <x v="48"/>
    <x v="56"/>
    <x v="2"/>
    <x v="2"/>
    <x v="2"/>
    <x v="0"/>
    <x v="19"/>
    <x v="5"/>
    <x v="7"/>
    <x v="2"/>
  </r>
  <r>
    <s v="TX501239"/>
    <x v="2"/>
    <x v="0"/>
    <n v="141"/>
    <n v="141"/>
    <x v="48"/>
    <x v="46"/>
    <x v="1"/>
    <x v="4"/>
    <x v="2"/>
    <x v="0"/>
    <x v="19"/>
    <x v="3"/>
    <x v="7"/>
    <x v="1"/>
  </r>
  <r>
    <s v="TX501240"/>
    <x v="0"/>
    <x v="2"/>
    <n v="16.7"/>
    <n v="50.099999999999994"/>
    <x v="48"/>
    <x v="52"/>
    <x v="2"/>
    <x v="0"/>
    <x v="0"/>
    <x v="0"/>
    <x v="20"/>
    <x v="9"/>
    <x v="7"/>
    <x v="2"/>
  </r>
  <r>
    <s v="TX501241"/>
    <x v="1"/>
    <x v="1"/>
    <n v="77.5"/>
    <n v="155"/>
    <x v="48"/>
    <x v="46"/>
    <x v="0"/>
    <x v="2"/>
    <x v="2"/>
    <x v="0"/>
    <x v="13"/>
    <x v="3"/>
    <x v="7"/>
    <x v="0"/>
  </r>
  <r>
    <s v="TX501242"/>
    <x v="2"/>
    <x v="1"/>
    <n v="163"/>
    <n v="326"/>
    <x v="48"/>
    <x v="54"/>
    <x v="2"/>
    <x v="4"/>
    <x v="0"/>
    <x v="0"/>
    <x v="21"/>
    <x v="4"/>
    <x v="7"/>
    <x v="2"/>
  </r>
  <r>
    <s v="TX501243"/>
    <x v="4"/>
    <x v="11"/>
    <n v="21.4"/>
    <n v="192.6"/>
    <x v="48"/>
    <x v="47"/>
    <x v="2"/>
    <x v="0"/>
    <x v="0"/>
    <x v="0"/>
    <x v="51"/>
    <x v="2"/>
    <x v="7"/>
    <x v="2"/>
  </r>
  <r>
    <s v="TX501244"/>
    <x v="10"/>
    <x v="5"/>
    <n v="31"/>
    <n v="341"/>
    <x v="48"/>
    <x v="49"/>
    <x v="2"/>
    <x v="3"/>
    <x v="2"/>
    <x v="0"/>
    <x v="1"/>
    <x v="1"/>
    <x v="7"/>
    <x v="2"/>
  </r>
  <r>
    <s v="TX501245"/>
    <x v="7"/>
    <x v="1"/>
    <n v="34.299999999999997"/>
    <n v="68.599999999999994"/>
    <x v="48"/>
    <x v="49"/>
    <x v="2"/>
    <x v="0"/>
    <x v="3"/>
    <x v="0"/>
    <x v="1"/>
    <x v="1"/>
    <x v="7"/>
    <x v="2"/>
  </r>
  <r>
    <s v="TX501246"/>
    <x v="17"/>
    <x v="9"/>
    <n v="48.2"/>
    <n v="241"/>
    <x v="48"/>
    <x v="46"/>
    <x v="1"/>
    <x v="1"/>
    <x v="1"/>
    <x v="0"/>
    <x v="2"/>
    <x v="3"/>
    <x v="7"/>
    <x v="1"/>
  </r>
  <r>
    <s v="TX501247"/>
    <x v="10"/>
    <x v="0"/>
    <n v="51.4"/>
    <n v="51.4"/>
    <x v="48"/>
    <x v="46"/>
    <x v="1"/>
    <x v="0"/>
    <x v="0"/>
    <x v="0"/>
    <x v="3"/>
    <x v="3"/>
    <x v="7"/>
    <x v="1"/>
  </r>
  <r>
    <s v="TX501248"/>
    <x v="2"/>
    <x v="9"/>
    <n v="117.2"/>
    <n v="586"/>
    <x v="48"/>
    <x v="47"/>
    <x v="2"/>
    <x v="4"/>
    <x v="4"/>
    <x v="0"/>
    <x v="3"/>
    <x v="2"/>
    <x v="7"/>
    <x v="2"/>
  </r>
  <r>
    <s v="TX501249"/>
    <x v="8"/>
    <x v="0"/>
    <n v="38.1"/>
    <n v="38.1"/>
    <x v="48"/>
    <x v="50"/>
    <x v="1"/>
    <x v="4"/>
    <x v="1"/>
    <x v="0"/>
    <x v="3"/>
    <x v="7"/>
    <x v="7"/>
    <x v="1"/>
  </r>
  <r>
    <s v="TX501250"/>
    <x v="0"/>
    <x v="1"/>
    <n v="44.1"/>
    <n v="88.2"/>
    <x v="48"/>
    <x v="49"/>
    <x v="2"/>
    <x v="2"/>
    <x v="0"/>
    <x v="0"/>
    <x v="3"/>
    <x v="1"/>
    <x v="7"/>
    <x v="2"/>
  </r>
  <r>
    <s v="TX501251"/>
    <x v="15"/>
    <x v="12"/>
    <n v="80.5"/>
    <n v="322"/>
    <x v="48"/>
    <x v="55"/>
    <x v="1"/>
    <x v="0"/>
    <x v="0"/>
    <x v="0"/>
    <x v="3"/>
    <x v="0"/>
    <x v="7"/>
    <x v="1"/>
  </r>
  <r>
    <s v="TX501252"/>
    <x v="18"/>
    <x v="12"/>
    <n v="33.6"/>
    <n v="134.4"/>
    <x v="48"/>
    <x v="55"/>
    <x v="0"/>
    <x v="0"/>
    <x v="2"/>
    <x v="0"/>
    <x v="3"/>
    <x v="0"/>
    <x v="7"/>
    <x v="0"/>
  </r>
  <r>
    <s v="TX501253"/>
    <x v="9"/>
    <x v="11"/>
    <n v="41.8"/>
    <n v="376.2"/>
    <x v="48"/>
    <x v="46"/>
    <x v="2"/>
    <x v="0"/>
    <x v="1"/>
    <x v="0"/>
    <x v="3"/>
    <x v="3"/>
    <x v="7"/>
    <x v="2"/>
  </r>
  <r>
    <s v="TX501254"/>
    <x v="1"/>
    <x v="1"/>
    <n v="106.2"/>
    <n v="212.4"/>
    <x v="48"/>
    <x v="50"/>
    <x v="2"/>
    <x v="4"/>
    <x v="2"/>
    <x v="0"/>
    <x v="3"/>
    <x v="7"/>
    <x v="7"/>
    <x v="2"/>
  </r>
  <r>
    <s v="TX501255"/>
    <x v="1"/>
    <x v="1"/>
    <n v="52.6"/>
    <n v="105.2"/>
    <x v="48"/>
    <x v="46"/>
    <x v="2"/>
    <x v="0"/>
    <x v="2"/>
    <x v="0"/>
    <x v="5"/>
    <x v="3"/>
    <x v="7"/>
    <x v="2"/>
  </r>
  <r>
    <s v="TX501256"/>
    <x v="11"/>
    <x v="3"/>
    <n v="68.5"/>
    <n v="479.5"/>
    <x v="48"/>
    <x v="46"/>
    <x v="2"/>
    <x v="1"/>
    <x v="0"/>
    <x v="0"/>
    <x v="5"/>
    <x v="3"/>
    <x v="7"/>
    <x v="2"/>
  </r>
  <r>
    <s v="TX501257"/>
    <x v="1"/>
    <x v="1"/>
    <n v="55.6"/>
    <n v="111.2"/>
    <x v="48"/>
    <x v="49"/>
    <x v="1"/>
    <x v="1"/>
    <x v="2"/>
    <x v="0"/>
    <x v="6"/>
    <x v="1"/>
    <x v="7"/>
    <x v="1"/>
  </r>
  <r>
    <s v="TX501258"/>
    <x v="2"/>
    <x v="2"/>
    <n v="134.9"/>
    <n v="404.70000000000005"/>
    <x v="48"/>
    <x v="46"/>
    <x v="1"/>
    <x v="1"/>
    <x v="1"/>
    <x v="0"/>
    <x v="6"/>
    <x v="3"/>
    <x v="7"/>
    <x v="1"/>
  </r>
  <r>
    <s v="TX501259"/>
    <x v="10"/>
    <x v="9"/>
    <n v="42.6"/>
    <n v="213"/>
    <x v="48"/>
    <x v="46"/>
    <x v="1"/>
    <x v="0"/>
    <x v="0"/>
    <x v="0"/>
    <x v="6"/>
    <x v="3"/>
    <x v="7"/>
    <x v="1"/>
  </r>
  <r>
    <s v="TX501260"/>
    <x v="7"/>
    <x v="9"/>
    <n v="60.6"/>
    <n v="303"/>
    <x v="48"/>
    <x v="49"/>
    <x v="1"/>
    <x v="4"/>
    <x v="0"/>
    <x v="0"/>
    <x v="6"/>
    <x v="1"/>
    <x v="7"/>
    <x v="1"/>
  </r>
  <r>
    <s v="TX501261"/>
    <x v="8"/>
    <x v="1"/>
    <n v="43.5"/>
    <n v="87"/>
    <x v="48"/>
    <x v="46"/>
    <x v="1"/>
    <x v="4"/>
    <x v="0"/>
    <x v="0"/>
    <x v="7"/>
    <x v="3"/>
    <x v="7"/>
    <x v="1"/>
  </r>
  <r>
    <s v="TX501262"/>
    <x v="2"/>
    <x v="1"/>
    <n v="187.1"/>
    <n v="374.2"/>
    <x v="48"/>
    <x v="46"/>
    <x v="1"/>
    <x v="1"/>
    <x v="2"/>
    <x v="0"/>
    <x v="8"/>
    <x v="3"/>
    <x v="7"/>
    <x v="1"/>
  </r>
  <r>
    <s v="TX501263"/>
    <x v="9"/>
    <x v="2"/>
    <n v="32"/>
    <n v="96"/>
    <x v="48"/>
    <x v="49"/>
    <x v="1"/>
    <x v="0"/>
    <x v="0"/>
    <x v="0"/>
    <x v="8"/>
    <x v="1"/>
    <x v="7"/>
    <x v="1"/>
  </r>
  <r>
    <s v="TX501264"/>
    <x v="9"/>
    <x v="1"/>
    <n v="110.8"/>
    <n v="221.6"/>
    <x v="48"/>
    <x v="50"/>
    <x v="1"/>
    <x v="0"/>
    <x v="2"/>
    <x v="0"/>
    <x v="8"/>
    <x v="7"/>
    <x v="7"/>
    <x v="1"/>
  </r>
  <r>
    <s v="TX501265"/>
    <x v="10"/>
    <x v="15"/>
    <n v="36.1"/>
    <n v="469.3"/>
    <x v="48"/>
    <x v="47"/>
    <x v="2"/>
    <x v="0"/>
    <x v="1"/>
    <x v="0"/>
    <x v="8"/>
    <x v="2"/>
    <x v="7"/>
    <x v="2"/>
  </r>
  <r>
    <s v="TX501266"/>
    <x v="0"/>
    <x v="0"/>
    <n v="24.1"/>
    <n v="24.1"/>
    <x v="48"/>
    <x v="49"/>
    <x v="2"/>
    <x v="4"/>
    <x v="2"/>
    <x v="0"/>
    <x v="8"/>
    <x v="1"/>
    <x v="7"/>
    <x v="2"/>
  </r>
  <r>
    <s v="TX501267"/>
    <x v="19"/>
    <x v="2"/>
    <n v="30.5"/>
    <n v="91.5"/>
    <x v="48"/>
    <x v="49"/>
    <x v="1"/>
    <x v="1"/>
    <x v="0"/>
    <x v="0"/>
    <x v="8"/>
    <x v="1"/>
    <x v="7"/>
    <x v="1"/>
  </r>
  <r>
    <s v="TX501268"/>
    <x v="18"/>
    <x v="13"/>
    <n v="68.3"/>
    <n v="409.79999999999995"/>
    <x v="48"/>
    <x v="47"/>
    <x v="1"/>
    <x v="0"/>
    <x v="0"/>
    <x v="0"/>
    <x v="8"/>
    <x v="2"/>
    <x v="7"/>
    <x v="1"/>
  </r>
  <r>
    <s v="TX501269"/>
    <x v="7"/>
    <x v="2"/>
    <n v="43.3"/>
    <n v="129.89999999999998"/>
    <x v="48"/>
    <x v="56"/>
    <x v="2"/>
    <x v="0"/>
    <x v="0"/>
    <x v="0"/>
    <x v="17"/>
    <x v="5"/>
    <x v="7"/>
    <x v="2"/>
  </r>
  <r>
    <s v="TX501270"/>
    <x v="3"/>
    <x v="0"/>
    <n v="101.7"/>
    <n v="101.7"/>
    <x v="48"/>
    <x v="47"/>
    <x v="2"/>
    <x v="0"/>
    <x v="1"/>
    <x v="0"/>
    <x v="17"/>
    <x v="2"/>
    <x v="7"/>
    <x v="2"/>
  </r>
  <r>
    <s v="TX501271"/>
    <x v="11"/>
    <x v="1"/>
    <n v="54.2"/>
    <n v="108.4"/>
    <x v="48"/>
    <x v="46"/>
    <x v="2"/>
    <x v="0"/>
    <x v="1"/>
    <x v="0"/>
    <x v="17"/>
    <x v="3"/>
    <x v="7"/>
    <x v="2"/>
  </r>
  <r>
    <s v="TX501272"/>
    <x v="16"/>
    <x v="1"/>
    <n v="51"/>
    <n v="102"/>
    <x v="48"/>
    <x v="50"/>
    <x v="1"/>
    <x v="1"/>
    <x v="0"/>
    <x v="0"/>
    <x v="26"/>
    <x v="7"/>
    <x v="7"/>
    <x v="1"/>
  </r>
  <r>
    <s v="TX501273"/>
    <x v="4"/>
    <x v="1"/>
    <n v="23.1"/>
    <n v="46.2"/>
    <x v="48"/>
    <x v="47"/>
    <x v="1"/>
    <x v="1"/>
    <x v="0"/>
    <x v="0"/>
    <x v="10"/>
    <x v="2"/>
    <x v="7"/>
    <x v="1"/>
  </r>
  <r>
    <s v="TX501274"/>
    <x v="12"/>
    <x v="13"/>
    <n v="60.1"/>
    <n v="360.6"/>
    <x v="48"/>
    <x v="50"/>
    <x v="2"/>
    <x v="3"/>
    <x v="0"/>
    <x v="0"/>
    <x v="11"/>
    <x v="7"/>
    <x v="7"/>
    <x v="2"/>
  </r>
  <r>
    <s v="TX501275"/>
    <x v="2"/>
    <x v="3"/>
    <n v="87.5"/>
    <n v="612.5"/>
    <x v="48"/>
    <x v="49"/>
    <x v="2"/>
    <x v="0"/>
    <x v="1"/>
    <x v="0"/>
    <x v="11"/>
    <x v="1"/>
    <x v="7"/>
    <x v="2"/>
  </r>
  <r>
    <s v="TX501276"/>
    <x v="1"/>
    <x v="2"/>
    <n v="51"/>
    <n v="153"/>
    <x v="48"/>
    <x v="46"/>
    <x v="2"/>
    <x v="1"/>
    <x v="0"/>
    <x v="0"/>
    <x v="11"/>
    <x v="3"/>
    <x v="7"/>
    <x v="2"/>
  </r>
  <r>
    <s v="TX501277"/>
    <x v="8"/>
    <x v="12"/>
    <n v="19.2"/>
    <n v="76.8"/>
    <x v="48"/>
    <x v="49"/>
    <x v="2"/>
    <x v="0"/>
    <x v="0"/>
    <x v="0"/>
    <x v="11"/>
    <x v="1"/>
    <x v="7"/>
    <x v="2"/>
  </r>
  <r>
    <s v="TX501278"/>
    <x v="5"/>
    <x v="8"/>
    <n v="26.5"/>
    <n v="212"/>
    <x v="48"/>
    <x v="46"/>
    <x v="0"/>
    <x v="3"/>
    <x v="2"/>
    <x v="0"/>
    <x v="11"/>
    <x v="3"/>
    <x v="7"/>
    <x v="0"/>
  </r>
  <r>
    <s v="TX501279"/>
    <x v="2"/>
    <x v="1"/>
    <n v="220.3"/>
    <n v="440.6"/>
    <x v="48"/>
    <x v="46"/>
    <x v="2"/>
    <x v="1"/>
    <x v="4"/>
    <x v="0"/>
    <x v="53"/>
    <x v="3"/>
    <x v="7"/>
    <x v="2"/>
  </r>
  <r>
    <s v="TX501280"/>
    <x v="8"/>
    <x v="2"/>
    <n v="45.7"/>
    <n v="137.10000000000002"/>
    <x v="48"/>
    <x v="46"/>
    <x v="2"/>
    <x v="4"/>
    <x v="0"/>
    <x v="0"/>
    <x v="30"/>
    <x v="3"/>
    <x v="7"/>
    <x v="2"/>
  </r>
  <r>
    <s v="TX501281"/>
    <x v="5"/>
    <x v="9"/>
    <n v="47.1"/>
    <n v="235.5"/>
    <x v="48"/>
    <x v="56"/>
    <x v="2"/>
    <x v="3"/>
    <x v="0"/>
    <x v="0"/>
    <x v="13"/>
    <x v="5"/>
    <x v="7"/>
    <x v="2"/>
  </r>
  <r>
    <s v="TX501282"/>
    <x v="1"/>
    <x v="9"/>
    <n v="81.7"/>
    <n v="408.5"/>
    <x v="48"/>
    <x v="46"/>
    <x v="2"/>
    <x v="0"/>
    <x v="2"/>
    <x v="0"/>
    <x v="21"/>
    <x v="3"/>
    <x v="7"/>
    <x v="2"/>
  </r>
  <r>
    <s v="TX501283"/>
    <x v="6"/>
    <x v="7"/>
    <n v="97.8"/>
    <n v="978"/>
    <x v="48"/>
    <x v="50"/>
    <x v="1"/>
    <x v="1"/>
    <x v="1"/>
    <x v="0"/>
    <x v="21"/>
    <x v="7"/>
    <x v="7"/>
    <x v="1"/>
  </r>
  <r>
    <s v="TX501284"/>
    <x v="6"/>
    <x v="2"/>
    <n v="42.4"/>
    <n v="127.19999999999999"/>
    <x v="48"/>
    <x v="46"/>
    <x v="2"/>
    <x v="0"/>
    <x v="2"/>
    <x v="0"/>
    <x v="54"/>
    <x v="3"/>
    <x v="7"/>
    <x v="2"/>
  </r>
  <r>
    <s v="TX501285"/>
    <x v="2"/>
    <x v="7"/>
    <n v="74.5"/>
    <n v="745"/>
    <x v="48"/>
    <x v="46"/>
    <x v="1"/>
    <x v="2"/>
    <x v="1"/>
    <x v="0"/>
    <x v="1"/>
    <x v="3"/>
    <x v="7"/>
    <x v="1"/>
  </r>
  <r>
    <s v="TX501286"/>
    <x v="17"/>
    <x v="13"/>
    <n v="47.4"/>
    <n v="284.39999999999998"/>
    <x v="48"/>
    <x v="46"/>
    <x v="1"/>
    <x v="1"/>
    <x v="0"/>
    <x v="0"/>
    <x v="1"/>
    <x v="3"/>
    <x v="7"/>
    <x v="1"/>
  </r>
  <r>
    <s v="TX501287"/>
    <x v="14"/>
    <x v="2"/>
    <n v="17.3"/>
    <n v="51.900000000000006"/>
    <x v="49"/>
    <x v="56"/>
    <x v="1"/>
    <x v="2"/>
    <x v="2"/>
    <x v="0"/>
    <x v="1"/>
    <x v="2"/>
    <x v="7"/>
    <x v="1"/>
  </r>
  <r>
    <s v="TX501288"/>
    <x v="12"/>
    <x v="12"/>
    <n v="77.900000000000006"/>
    <n v="311.60000000000002"/>
    <x v="49"/>
    <x v="49"/>
    <x v="1"/>
    <x v="1"/>
    <x v="0"/>
    <x v="0"/>
    <x v="2"/>
    <x v="3"/>
    <x v="7"/>
    <x v="1"/>
  </r>
  <r>
    <s v="TX501289"/>
    <x v="8"/>
    <x v="0"/>
    <n v="29.1"/>
    <n v="29.1"/>
    <x v="49"/>
    <x v="56"/>
    <x v="1"/>
    <x v="0"/>
    <x v="2"/>
    <x v="0"/>
    <x v="50"/>
    <x v="2"/>
    <x v="7"/>
    <x v="1"/>
  </r>
  <r>
    <s v="TX501290"/>
    <x v="8"/>
    <x v="0"/>
    <n v="49"/>
    <n v="49"/>
    <x v="49"/>
    <x v="49"/>
    <x v="1"/>
    <x v="1"/>
    <x v="0"/>
    <x v="0"/>
    <x v="3"/>
    <x v="3"/>
    <x v="7"/>
    <x v="1"/>
  </r>
  <r>
    <s v="TX501291"/>
    <x v="8"/>
    <x v="13"/>
    <n v="21.1"/>
    <n v="126.60000000000001"/>
    <x v="49"/>
    <x v="52"/>
    <x v="1"/>
    <x v="0"/>
    <x v="2"/>
    <x v="0"/>
    <x v="3"/>
    <x v="6"/>
    <x v="7"/>
    <x v="1"/>
  </r>
  <r>
    <s v="TX501292"/>
    <x v="4"/>
    <x v="10"/>
    <n v="36.9"/>
    <n v="701.1"/>
    <x v="49"/>
    <x v="46"/>
    <x v="2"/>
    <x v="0"/>
    <x v="0"/>
    <x v="0"/>
    <x v="3"/>
    <x v="7"/>
    <x v="7"/>
    <x v="2"/>
  </r>
  <r>
    <s v="TX501293"/>
    <x v="1"/>
    <x v="7"/>
    <n v="92.6"/>
    <n v="926"/>
    <x v="49"/>
    <x v="54"/>
    <x v="1"/>
    <x v="4"/>
    <x v="2"/>
    <x v="0"/>
    <x v="3"/>
    <x v="0"/>
    <x v="7"/>
    <x v="1"/>
  </r>
  <r>
    <s v="TX501294"/>
    <x v="10"/>
    <x v="1"/>
    <n v="38"/>
    <n v="76"/>
    <x v="49"/>
    <x v="49"/>
    <x v="1"/>
    <x v="1"/>
    <x v="1"/>
    <x v="0"/>
    <x v="3"/>
    <x v="3"/>
    <x v="7"/>
    <x v="1"/>
  </r>
  <r>
    <s v="TX501295"/>
    <x v="5"/>
    <x v="2"/>
    <n v="54.8"/>
    <n v="164.39999999999998"/>
    <x v="49"/>
    <x v="55"/>
    <x v="0"/>
    <x v="0"/>
    <x v="1"/>
    <x v="0"/>
    <x v="3"/>
    <x v="5"/>
    <x v="7"/>
    <x v="0"/>
  </r>
  <r>
    <s v="TX501296"/>
    <x v="10"/>
    <x v="4"/>
    <n v="56.8"/>
    <n v="681.59999999999991"/>
    <x v="49"/>
    <x v="47"/>
    <x v="1"/>
    <x v="1"/>
    <x v="0"/>
    <x v="0"/>
    <x v="3"/>
    <x v="1"/>
    <x v="7"/>
    <x v="1"/>
  </r>
  <r>
    <s v="TX501297"/>
    <x v="11"/>
    <x v="40"/>
    <n v="47.2"/>
    <n v="1557.6000000000001"/>
    <x v="49"/>
    <x v="56"/>
    <x v="2"/>
    <x v="1"/>
    <x v="0"/>
    <x v="0"/>
    <x v="3"/>
    <x v="2"/>
    <x v="7"/>
    <x v="2"/>
  </r>
  <r>
    <s v="TX501298"/>
    <x v="7"/>
    <x v="13"/>
    <n v="45.1"/>
    <n v="270.60000000000002"/>
    <x v="49"/>
    <x v="49"/>
    <x v="2"/>
    <x v="2"/>
    <x v="0"/>
    <x v="0"/>
    <x v="43"/>
    <x v="3"/>
    <x v="7"/>
    <x v="2"/>
  </r>
  <r>
    <s v="TX501299"/>
    <x v="4"/>
    <x v="4"/>
    <n v="25.2"/>
    <n v="302.39999999999998"/>
    <x v="49"/>
    <x v="54"/>
    <x v="2"/>
    <x v="2"/>
    <x v="0"/>
    <x v="0"/>
    <x v="16"/>
    <x v="0"/>
    <x v="7"/>
    <x v="2"/>
  </r>
  <r>
    <s v="TX501300"/>
    <x v="8"/>
    <x v="0"/>
    <n v="22"/>
    <n v="22"/>
    <x v="49"/>
    <x v="49"/>
    <x v="2"/>
    <x v="0"/>
    <x v="0"/>
    <x v="0"/>
    <x v="5"/>
    <x v="3"/>
    <x v="7"/>
    <x v="2"/>
  </r>
  <r>
    <s v="TX501301"/>
    <x v="6"/>
    <x v="1"/>
    <n v="42.2"/>
    <n v="84.4"/>
    <x v="49"/>
    <x v="49"/>
    <x v="2"/>
    <x v="1"/>
    <x v="1"/>
    <x v="0"/>
    <x v="23"/>
    <x v="3"/>
    <x v="7"/>
    <x v="2"/>
  </r>
  <r>
    <s v="TX501302"/>
    <x v="13"/>
    <x v="2"/>
    <n v="20.5"/>
    <n v="61.5"/>
    <x v="49"/>
    <x v="49"/>
    <x v="1"/>
    <x v="0"/>
    <x v="1"/>
    <x v="0"/>
    <x v="6"/>
    <x v="3"/>
    <x v="7"/>
    <x v="1"/>
  </r>
  <r>
    <s v="TX501303"/>
    <x v="2"/>
    <x v="0"/>
    <n v="190.4"/>
    <n v="190.4"/>
    <x v="49"/>
    <x v="54"/>
    <x v="1"/>
    <x v="1"/>
    <x v="4"/>
    <x v="0"/>
    <x v="6"/>
    <x v="0"/>
    <x v="7"/>
    <x v="1"/>
  </r>
  <r>
    <s v="TX501304"/>
    <x v="2"/>
    <x v="0"/>
    <n v="121.9"/>
    <n v="121.9"/>
    <x v="49"/>
    <x v="47"/>
    <x v="2"/>
    <x v="1"/>
    <x v="2"/>
    <x v="0"/>
    <x v="6"/>
    <x v="1"/>
    <x v="7"/>
    <x v="2"/>
  </r>
  <r>
    <s v="TX501305"/>
    <x v="2"/>
    <x v="13"/>
    <n v="149.19999999999999"/>
    <n v="895.19999999999993"/>
    <x v="49"/>
    <x v="49"/>
    <x v="2"/>
    <x v="2"/>
    <x v="2"/>
    <x v="0"/>
    <x v="7"/>
    <x v="3"/>
    <x v="7"/>
    <x v="2"/>
  </r>
  <r>
    <s v="TX501306"/>
    <x v="2"/>
    <x v="0"/>
    <n v="54.1"/>
    <n v="54.1"/>
    <x v="49"/>
    <x v="58"/>
    <x v="2"/>
    <x v="2"/>
    <x v="2"/>
    <x v="0"/>
    <x v="7"/>
    <x v="8"/>
    <x v="7"/>
    <x v="2"/>
  </r>
  <r>
    <s v="TX501307"/>
    <x v="5"/>
    <x v="1"/>
    <n v="27.4"/>
    <n v="54.8"/>
    <x v="49"/>
    <x v="47"/>
    <x v="1"/>
    <x v="1"/>
    <x v="0"/>
    <x v="0"/>
    <x v="8"/>
    <x v="1"/>
    <x v="7"/>
    <x v="1"/>
  </r>
  <r>
    <s v="TX501308"/>
    <x v="0"/>
    <x v="15"/>
    <n v="30.4"/>
    <n v="395.2"/>
    <x v="49"/>
    <x v="49"/>
    <x v="2"/>
    <x v="0"/>
    <x v="2"/>
    <x v="0"/>
    <x v="8"/>
    <x v="3"/>
    <x v="7"/>
    <x v="2"/>
  </r>
  <r>
    <s v="TX501309"/>
    <x v="12"/>
    <x v="2"/>
    <n v="46.2"/>
    <n v="138.60000000000002"/>
    <x v="49"/>
    <x v="47"/>
    <x v="1"/>
    <x v="2"/>
    <x v="1"/>
    <x v="0"/>
    <x v="17"/>
    <x v="1"/>
    <x v="7"/>
    <x v="1"/>
  </r>
  <r>
    <s v="TX501310"/>
    <x v="7"/>
    <x v="8"/>
    <n v="78.599999999999994"/>
    <n v="628.79999999999995"/>
    <x v="49"/>
    <x v="55"/>
    <x v="1"/>
    <x v="3"/>
    <x v="0"/>
    <x v="0"/>
    <x v="17"/>
    <x v="5"/>
    <x v="7"/>
    <x v="1"/>
  </r>
  <r>
    <s v="TX501311"/>
    <x v="17"/>
    <x v="7"/>
    <n v="25.9"/>
    <n v="259"/>
    <x v="49"/>
    <x v="51"/>
    <x v="1"/>
    <x v="4"/>
    <x v="0"/>
    <x v="0"/>
    <x v="9"/>
    <x v="4"/>
    <x v="7"/>
    <x v="1"/>
  </r>
  <r>
    <s v="TX501312"/>
    <x v="6"/>
    <x v="0"/>
    <n v="134.80000000000001"/>
    <n v="134.80000000000001"/>
    <x v="49"/>
    <x v="47"/>
    <x v="1"/>
    <x v="2"/>
    <x v="2"/>
    <x v="0"/>
    <x v="9"/>
    <x v="1"/>
    <x v="7"/>
    <x v="1"/>
  </r>
  <r>
    <s v="TX501313"/>
    <x v="15"/>
    <x v="9"/>
    <n v="43.1"/>
    <n v="215.5"/>
    <x v="49"/>
    <x v="47"/>
    <x v="2"/>
    <x v="0"/>
    <x v="0"/>
    <x v="0"/>
    <x v="11"/>
    <x v="1"/>
    <x v="7"/>
    <x v="2"/>
  </r>
  <r>
    <s v="TX501314"/>
    <x v="2"/>
    <x v="1"/>
    <n v="215.6"/>
    <n v="431.2"/>
    <x v="49"/>
    <x v="49"/>
    <x v="2"/>
    <x v="2"/>
    <x v="0"/>
    <x v="0"/>
    <x v="18"/>
    <x v="3"/>
    <x v="7"/>
    <x v="2"/>
  </r>
  <r>
    <s v="TX501315"/>
    <x v="6"/>
    <x v="1"/>
    <n v="80.7"/>
    <n v="161.4"/>
    <x v="49"/>
    <x v="56"/>
    <x v="2"/>
    <x v="3"/>
    <x v="0"/>
    <x v="0"/>
    <x v="18"/>
    <x v="2"/>
    <x v="7"/>
    <x v="2"/>
  </r>
  <r>
    <s v="TX501316"/>
    <x v="10"/>
    <x v="3"/>
    <n v="20.6"/>
    <n v="144.20000000000002"/>
    <x v="49"/>
    <x v="54"/>
    <x v="0"/>
    <x v="2"/>
    <x v="1"/>
    <x v="0"/>
    <x v="19"/>
    <x v="0"/>
    <x v="7"/>
    <x v="0"/>
  </r>
  <r>
    <s v="TX501317"/>
    <x v="12"/>
    <x v="2"/>
    <n v="37.1"/>
    <n v="111.30000000000001"/>
    <x v="49"/>
    <x v="49"/>
    <x v="2"/>
    <x v="0"/>
    <x v="0"/>
    <x v="0"/>
    <x v="52"/>
    <x v="3"/>
    <x v="7"/>
    <x v="2"/>
  </r>
  <r>
    <s v="TX501318"/>
    <x v="12"/>
    <x v="0"/>
    <n v="104.8"/>
    <n v="104.8"/>
    <x v="50"/>
    <x v="56"/>
    <x v="2"/>
    <x v="0"/>
    <x v="0"/>
    <x v="0"/>
    <x v="13"/>
    <x v="1"/>
    <x v="7"/>
    <x v="2"/>
  </r>
  <r>
    <s v="TX501319"/>
    <x v="8"/>
    <x v="1"/>
    <n v="59"/>
    <n v="118"/>
    <x v="50"/>
    <x v="47"/>
    <x v="1"/>
    <x v="1"/>
    <x v="0"/>
    <x v="0"/>
    <x v="21"/>
    <x v="3"/>
    <x v="7"/>
    <x v="1"/>
  </r>
  <r>
    <s v="TX501320"/>
    <x v="8"/>
    <x v="1"/>
    <n v="32.299999999999997"/>
    <n v="64.599999999999994"/>
    <x v="50"/>
    <x v="47"/>
    <x v="1"/>
    <x v="0"/>
    <x v="2"/>
    <x v="0"/>
    <x v="21"/>
    <x v="3"/>
    <x v="7"/>
    <x v="1"/>
  </r>
  <r>
    <s v="TX501321"/>
    <x v="8"/>
    <x v="12"/>
    <n v="28.9"/>
    <n v="115.6"/>
    <x v="50"/>
    <x v="53"/>
    <x v="1"/>
    <x v="0"/>
    <x v="0"/>
    <x v="0"/>
    <x v="1"/>
    <x v="6"/>
    <x v="7"/>
    <x v="1"/>
  </r>
  <r>
    <s v="TX501322"/>
    <x v="0"/>
    <x v="1"/>
    <n v="29.6"/>
    <n v="59.2"/>
    <x v="50"/>
    <x v="56"/>
    <x v="1"/>
    <x v="0"/>
    <x v="0"/>
    <x v="0"/>
    <x v="1"/>
    <x v="1"/>
    <x v="7"/>
    <x v="1"/>
  </r>
  <r>
    <s v="TX501323"/>
    <x v="0"/>
    <x v="9"/>
    <n v="29.4"/>
    <n v="147"/>
    <x v="50"/>
    <x v="55"/>
    <x v="2"/>
    <x v="0"/>
    <x v="0"/>
    <x v="0"/>
    <x v="1"/>
    <x v="2"/>
    <x v="7"/>
    <x v="2"/>
  </r>
  <r>
    <s v="TX501324"/>
    <x v="1"/>
    <x v="1"/>
    <n v="40.6"/>
    <n v="81.2"/>
    <x v="50"/>
    <x v="47"/>
    <x v="1"/>
    <x v="0"/>
    <x v="4"/>
    <x v="0"/>
    <x v="2"/>
    <x v="3"/>
    <x v="7"/>
    <x v="1"/>
  </r>
  <r>
    <s v="TX501325"/>
    <x v="0"/>
    <x v="2"/>
    <n v="32.5"/>
    <n v="97.5"/>
    <x v="50"/>
    <x v="47"/>
    <x v="1"/>
    <x v="3"/>
    <x v="2"/>
    <x v="0"/>
    <x v="22"/>
    <x v="3"/>
    <x v="7"/>
    <x v="1"/>
  </r>
  <r>
    <s v="TX501326"/>
    <x v="15"/>
    <x v="0"/>
    <n v="26.2"/>
    <n v="26.2"/>
    <x v="50"/>
    <x v="56"/>
    <x v="1"/>
    <x v="2"/>
    <x v="0"/>
    <x v="0"/>
    <x v="55"/>
    <x v="1"/>
    <x v="7"/>
    <x v="1"/>
  </r>
  <r>
    <s v="TX501327"/>
    <x v="10"/>
    <x v="17"/>
    <n v="44"/>
    <n v="1320"/>
    <x v="50"/>
    <x v="52"/>
    <x v="1"/>
    <x v="4"/>
    <x v="0"/>
    <x v="0"/>
    <x v="3"/>
    <x v="4"/>
    <x v="7"/>
    <x v="1"/>
  </r>
  <r>
    <s v="TX501328"/>
    <x v="7"/>
    <x v="12"/>
    <n v="65.599999999999994"/>
    <n v="262.39999999999998"/>
    <x v="50"/>
    <x v="47"/>
    <x v="2"/>
    <x v="1"/>
    <x v="1"/>
    <x v="0"/>
    <x v="3"/>
    <x v="3"/>
    <x v="7"/>
    <x v="2"/>
  </r>
  <r>
    <s v="TX501329"/>
    <x v="5"/>
    <x v="4"/>
    <n v="32.6"/>
    <n v="391.20000000000005"/>
    <x v="50"/>
    <x v="47"/>
    <x v="1"/>
    <x v="4"/>
    <x v="0"/>
    <x v="0"/>
    <x v="3"/>
    <x v="3"/>
    <x v="7"/>
    <x v="1"/>
  </r>
  <r>
    <s v="TX501330"/>
    <x v="16"/>
    <x v="1"/>
    <n v="88.7"/>
    <n v="177.4"/>
    <x v="50"/>
    <x v="47"/>
    <x v="0"/>
    <x v="3"/>
    <x v="2"/>
    <x v="0"/>
    <x v="3"/>
    <x v="3"/>
    <x v="7"/>
    <x v="0"/>
  </r>
  <r>
    <s v="TX501331"/>
    <x v="4"/>
    <x v="1"/>
    <n v="21.3"/>
    <n v="42.6"/>
    <x v="50"/>
    <x v="47"/>
    <x v="1"/>
    <x v="0"/>
    <x v="0"/>
    <x v="0"/>
    <x v="3"/>
    <x v="3"/>
    <x v="7"/>
    <x v="1"/>
  </r>
  <r>
    <s v="TX501332"/>
    <x v="4"/>
    <x v="13"/>
    <n v="50.6"/>
    <n v="303.60000000000002"/>
    <x v="50"/>
    <x v="54"/>
    <x v="2"/>
    <x v="2"/>
    <x v="0"/>
    <x v="0"/>
    <x v="3"/>
    <x v="5"/>
    <x v="7"/>
    <x v="2"/>
  </r>
  <r>
    <s v="TX501333"/>
    <x v="9"/>
    <x v="38"/>
    <n v="86.9"/>
    <n v="1824.9"/>
    <x v="50"/>
    <x v="55"/>
    <x v="2"/>
    <x v="0"/>
    <x v="1"/>
    <x v="0"/>
    <x v="3"/>
    <x v="2"/>
    <x v="7"/>
    <x v="2"/>
  </r>
  <r>
    <s v="TX501334"/>
    <x v="11"/>
    <x v="2"/>
    <n v="31.8"/>
    <n v="95.4"/>
    <x v="50"/>
    <x v="56"/>
    <x v="1"/>
    <x v="0"/>
    <x v="2"/>
    <x v="0"/>
    <x v="3"/>
    <x v="1"/>
    <x v="7"/>
    <x v="1"/>
  </r>
  <r>
    <s v="TX501335"/>
    <x v="8"/>
    <x v="0"/>
    <n v="19"/>
    <n v="19"/>
    <x v="50"/>
    <x v="47"/>
    <x v="2"/>
    <x v="0"/>
    <x v="2"/>
    <x v="0"/>
    <x v="3"/>
    <x v="3"/>
    <x v="7"/>
    <x v="2"/>
  </r>
  <r>
    <s v="TX501336"/>
    <x v="5"/>
    <x v="0"/>
    <n v="54.5"/>
    <n v="54.5"/>
    <x v="50"/>
    <x v="56"/>
    <x v="1"/>
    <x v="0"/>
    <x v="0"/>
    <x v="0"/>
    <x v="3"/>
    <x v="1"/>
    <x v="7"/>
    <x v="1"/>
  </r>
  <r>
    <s v="TX501337"/>
    <x v="9"/>
    <x v="9"/>
    <n v="68.900000000000006"/>
    <n v="344.5"/>
    <x v="50"/>
    <x v="56"/>
    <x v="1"/>
    <x v="4"/>
    <x v="1"/>
    <x v="0"/>
    <x v="3"/>
    <x v="1"/>
    <x v="7"/>
    <x v="1"/>
  </r>
  <r>
    <s v="TX501338"/>
    <x v="6"/>
    <x v="2"/>
    <n v="84"/>
    <n v="252"/>
    <x v="50"/>
    <x v="47"/>
    <x v="1"/>
    <x v="1"/>
    <x v="4"/>
    <x v="0"/>
    <x v="16"/>
    <x v="3"/>
    <x v="7"/>
    <x v="1"/>
  </r>
  <r>
    <s v="TX501339"/>
    <x v="15"/>
    <x v="8"/>
    <n v="23.1"/>
    <n v="184.8"/>
    <x v="50"/>
    <x v="51"/>
    <x v="1"/>
    <x v="0"/>
    <x v="2"/>
    <x v="0"/>
    <x v="23"/>
    <x v="0"/>
    <x v="7"/>
    <x v="1"/>
  </r>
  <r>
    <s v="TX501340"/>
    <x v="7"/>
    <x v="1"/>
    <n v="62.4"/>
    <n v="124.8"/>
    <x v="50"/>
    <x v="47"/>
    <x v="2"/>
    <x v="0"/>
    <x v="1"/>
    <x v="0"/>
    <x v="6"/>
    <x v="3"/>
    <x v="7"/>
    <x v="2"/>
  </r>
  <r>
    <s v="TX501341"/>
    <x v="6"/>
    <x v="4"/>
    <n v="40.700000000000003"/>
    <n v="488.40000000000003"/>
    <x v="50"/>
    <x v="56"/>
    <x v="1"/>
    <x v="1"/>
    <x v="2"/>
    <x v="0"/>
    <x v="6"/>
    <x v="1"/>
    <x v="7"/>
    <x v="1"/>
  </r>
  <r>
    <s v="TX501342"/>
    <x v="6"/>
    <x v="0"/>
    <n v="49.6"/>
    <n v="49.6"/>
    <x v="50"/>
    <x v="55"/>
    <x v="1"/>
    <x v="2"/>
    <x v="0"/>
    <x v="0"/>
    <x v="7"/>
    <x v="2"/>
    <x v="7"/>
    <x v="1"/>
  </r>
  <r>
    <s v="TX501343"/>
    <x v="7"/>
    <x v="41"/>
    <n v="66.599999999999994"/>
    <n v="2996.9999999999995"/>
    <x v="50"/>
    <x v="55"/>
    <x v="1"/>
    <x v="2"/>
    <x v="0"/>
    <x v="0"/>
    <x v="8"/>
    <x v="2"/>
    <x v="7"/>
    <x v="1"/>
  </r>
  <r>
    <s v="TX501344"/>
    <x v="8"/>
    <x v="2"/>
    <n v="26.4"/>
    <n v="79.199999999999989"/>
    <x v="50"/>
    <x v="47"/>
    <x v="2"/>
    <x v="1"/>
    <x v="1"/>
    <x v="0"/>
    <x v="8"/>
    <x v="3"/>
    <x v="7"/>
    <x v="2"/>
  </r>
  <r>
    <s v="TX501345"/>
    <x v="0"/>
    <x v="1"/>
    <n v="17.2"/>
    <n v="34.4"/>
    <x v="50"/>
    <x v="55"/>
    <x v="1"/>
    <x v="2"/>
    <x v="1"/>
    <x v="0"/>
    <x v="8"/>
    <x v="2"/>
    <x v="7"/>
    <x v="1"/>
  </r>
  <r>
    <s v="TX501346"/>
    <x v="5"/>
    <x v="8"/>
    <n v="58.1"/>
    <n v="464.8"/>
    <x v="50"/>
    <x v="55"/>
    <x v="2"/>
    <x v="4"/>
    <x v="0"/>
    <x v="0"/>
    <x v="8"/>
    <x v="2"/>
    <x v="7"/>
    <x v="2"/>
  </r>
  <r>
    <s v="TX501347"/>
    <x v="15"/>
    <x v="12"/>
    <n v="31.5"/>
    <n v="126"/>
    <x v="50"/>
    <x v="55"/>
    <x v="2"/>
    <x v="4"/>
    <x v="4"/>
    <x v="0"/>
    <x v="8"/>
    <x v="2"/>
    <x v="7"/>
    <x v="2"/>
  </r>
  <r>
    <s v="TX501348"/>
    <x v="0"/>
    <x v="0"/>
    <n v="27.1"/>
    <n v="27.1"/>
    <x v="50"/>
    <x v="56"/>
    <x v="2"/>
    <x v="0"/>
    <x v="1"/>
    <x v="0"/>
    <x v="17"/>
    <x v="1"/>
    <x v="7"/>
    <x v="2"/>
  </r>
  <r>
    <s v="TX501349"/>
    <x v="18"/>
    <x v="12"/>
    <n v="28.5"/>
    <n v="114"/>
    <x v="50"/>
    <x v="56"/>
    <x v="1"/>
    <x v="1"/>
    <x v="2"/>
    <x v="0"/>
    <x v="9"/>
    <x v="1"/>
    <x v="7"/>
    <x v="1"/>
  </r>
  <r>
    <s v="TX501350"/>
    <x v="10"/>
    <x v="0"/>
    <n v="40.5"/>
    <n v="40.5"/>
    <x v="51"/>
    <x v="55"/>
    <x v="3"/>
    <x v="2"/>
    <x v="0"/>
    <x v="0"/>
    <x v="9"/>
    <x v="1"/>
    <x v="7"/>
    <x v="3"/>
  </r>
  <r>
    <s v="TX501351"/>
    <x v="2"/>
    <x v="2"/>
    <n v="77.900000000000006"/>
    <n v="233.70000000000002"/>
    <x v="51"/>
    <x v="51"/>
    <x v="2"/>
    <x v="1"/>
    <x v="2"/>
    <x v="0"/>
    <x v="19"/>
    <x v="5"/>
    <x v="7"/>
    <x v="2"/>
  </r>
  <r>
    <s v="TX501352"/>
    <x v="18"/>
    <x v="12"/>
    <n v="37.1"/>
    <n v="148.4"/>
    <x v="51"/>
    <x v="55"/>
    <x v="1"/>
    <x v="4"/>
    <x v="2"/>
    <x v="0"/>
    <x v="19"/>
    <x v="1"/>
    <x v="7"/>
    <x v="1"/>
  </r>
  <r>
    <s v="TX501353"/>
    <x v="16"/>
    <x v="2"/>
    <n v="51.6"/>
    <n v="154.80000000000001"/>
    <x v="51"/>
    <x v="59"/>
    <x v="2"/>
    <x v="0"/>
    <x v="4"/>
    <x v="0"/>
    <x v="19"/>
    <x v="9"/>
    <x v="7"/>
    <x v="2"/>
  </r>
  <r>
    <s v="TX501354"/>
    <x v="7"/>
    <x v="2"/>
    <n v="98"/>
    <n v="294"/>
    <x v="51"/>
    <x v="56"/>
    <x v="1"/>
    <x v="1"/>
    <x v="1"/>
    <x v="0"/>
    <x v="19"/>
    <x v="3"/>
    <x v="7"/>
    <x v="1"/>
  </r>
  <r>
    <s v="TX501355"/>
    <x v="6"/>
    <x v="3"/>
    <n v="41.4"/>
    <n v="289.8"/>
    <x v="51"/>
    <x v="56"/>
    <x v="1"/>
    <x v="1"/>
    <x v="0"/>
    <x v="0"/>
    <x v="20"/>
    <x v="3"/>
    <x v="7"/>
    <x v="1"/>
  </r>
  <r>
    <s v="TX501356"/>
    <x v="11"/>
    <x v="8"/>
    <n v="34"/>
    <n v="272"/>
    <x v="51"/>
    <x v="52"/>
    <x v="2"/>
    <x v="0"/>
    <x v="2"/>
    <x v="0"/>
    <x v="52"/>
    <x v="0"/>
    <x v="7"/>
    <x v="2"/>
  </r>
  <r>
    <s v="TX501357"/>
    <x v="6"/>
    <x v="0"/>
    <n v="66.3"/>
    <n v="66.3"/>
    <x v="51"/>
    <x v="56"/>
    <x v="2"/>
    <x v="1"/>
    <x v="0"/>
    <x v="0"/>
    <x v="13"/>
    <x v="3"/>
    <x v="7"/>
    <x v="2"/>
  </r>
  <r>
    <s v="TX501358"/>
    <x v="7"/>
    <x v="0"/>
    <n v="33.5"/>
    <n v="33.5"/>
    <x v="51"/>
    <x v="51"/>
    <x v="1"/>
    <x v="2"/>
    <x v="0"/>
    <x v="0"/>
    <x v="13"/>
    <x v="5"/>
    <x v="7"/>
    <x v="1"/>
  </r>
  <r>
    <s v="TX501359"/>
    <x v="12"/>
    <x v="1"/>
    <n v="70.8"/>
    <n v="141.6"/>
    <x v="51"/>
    <x v="56"/>
    <x v="0"/>
    <x v="0"/>
    <x v="0"/>
    <x v="0"/>
    <x v="28"/>
    <x v="3"/>
    <x v="7"/>
    <x v="0"/>
  </r>
  <r>
    <s v="TX501360"/>
    <x v="6"/>
    <x v="1"/>
    <n v="127.6"/>
    <n v="255.2"/>
    <x v="51"/>
    <x v="56"/>
    <x v="1"/>
    <x v="0"/>
    <x v="0"/>
    <x v="0"/>
    <x v="21"/>
    <x v="3"/>
    <x v="7"/>
    <x v="1"/>
  </r>
  <r>
    <s v="TX501361"/>
    <x v="6"/>
    <x v="2"/>
    <n v="95.9"/>
    <n v="287.70000000000005"/>
    <x v="51"/>
    <x v="56"/>
    <x v="2"/>
    <x v="1"/>
    <x v="1"/>
    <x v="0"/>
    <x v="21"/>
    <x v="3"/>
    <x v="7"/>
    <x v="2"/>
  </r>
  <r>
    <s v="TX501362"/>
    <x v="2"/>
    <x v="1"/>
    <n v="78.099999999999994"/>
    <n v="156.19999999999999"/>
    <x v="51"/>
    <x v="56"/>
    <x v="1"/>
    <x v="0"/>
    <x v="0"/>
    <x v="0"/>
    <x v="1"/>
    <x v="3"/>
    <x v="7"/>
    <x v="1"/>
  </r>
  <r>
    <s v="TX501363"/>
    <x v="13"/>
    <x v="1"/>
    <n v="43.2"/>
    <n v="86.4"/>
    <x v="51"/>
    <x v="56"/>
    <x v="0"/>
    <x v="1"/>
    <x v="1"/>
    <x v="0"/>
    <x v="1"/>
    <x v="3"/>
    <x v="7"/>
    <x v="0"/>
  </r>
  <r>
    <s v="TX501364"/>
    <x v="8"/>
    <x v="12"/>
    <n v="28.4"/>
    <n v="113.6"/>
    <x v="51"/>
    <x v="53"/>
    <x v="1"/>
    <x v="2"/>
    <x v="0"/>
    <x v="0"/>
    <x v="3"/>
    <x v="4"/>
    <x v="7"/>
    <x v="1"/>
  </r>
  <r>
    <s v="TX501365"/>
    <x v="2"/>
    <x v="1"/>
    <n v="81.7"/>
    <n v="163.4"/>
    <x v="51"/>
    <x v="47"/>
    <x v="1"/>
    <x v="0"/>
    <x v="0"/>
    <x v="0"/>
    <x v="3"/>
    <x v="7"/>
    <x v="7"/>
    <x v="1"/>
  </r>
  <r>
    <s v="TX501366"/>
    <x v="18"/>
    <x v="1"/>
    <n v="56.7"/>
    <n v="113.4"/>
    <x v="51"/>
    <x v="55"/>
    <x v="0"/>
    <x v="0"/>
    <x v="2"/>
    <x v="0"/>
    <x v="3"/>
    <x v="1"/>
    <x v="7"/>
    <x v="0"/>
  </r>
  <r>
    <s v="TX501367"/>
    <x v="3"/>
    <x v="12"/>
    <n v="66.5"/>
    <n v="266"/>
    <x v="51"/>
    <x v="47"/>
    <x v="2"/>
    <x v="0"/>
    <x v="2"/>
    <x v="0"/>
    <x v="3"/>
    <x v="7"/>
    <x v="7"/>
    <x v="2"/>
  </r>
  <r>
    <s v="TX501368"/>
    <x v="1"/>
    <x v="1"/>
    <n v="105.3"/>
    <n v="210.6"/>
    <x v="51"/>
    <x v="51"/>
    <x v="1"/>
    <x v="0"/>
    <x v="1"/>
    <x v="0"/>
    <x v="3"/>
    <x v="5"/>
    <x v="7"/>
    <x v="1"/>
  </r>
  <r>
    <s v="TX501369"/>
    <x v="10"/>
    <x v="9"/>
    <n v="33.799999999999997"/>
    <n v="169"/>
    <x v="51"/>
    <x v="52"/>
    <x v="1"/>
    <x v="0"/>
    <x v="0"/>
    <x v="0"/>
    <x v="3"/>
    <x v="0"/>
    <x v="7"/>
    <x v="1"/>
  </r>
  <r>
    <s v="TX501370"/>
    <x v="6"/>
    <x v="2"/>
    <n v="63.4"/>
    <n v="190.2"/>
    <x v="51"/>
    <x v="52"/>
    <x v="1"/>
    <x v="3"/>
    <x v="1"/>
    <x v="0"/>
    <x v="24"/>
    <x v="0"/>
    <x v="7"/>
    <x v="1"/>
  </r>
  <r>
    <s v="TX501371"/>
    <x v="6"/>
    <x v="2"/>
    <n v="49"/>
    <n v="147"/>
    <x v="51"/>
    <x v="51"/>
    <x v="1"/>
    <x v="3"/>
    <x v="0"/>
    <x v="0"/>
    <x v="49"/>
    <x v="5"/>
    <x v="7"/>
    <x v="1"/>
  </r>
  <r>
    <s v="TX501372"/>
    <x v="1"/>
    <x v="1"/>
    <n v="40"/>
    <n v="80"/>
    <x v="51"/>
    <x v="56"/>
    <x v="2"/>
    <x v="4"/>
    <x v="1"/>
    <x v="0"/>
    <x v="23"/>
    <x v="3"/>
    <x v="7"/>
    <x v="2"/>
  </r>
  <r>
    <s v="TX501373"/>
    <x v="6"/>
    <x v="12"/>
    <n v="86.3"/>
    <n v="345.2"/>
    <x v="51"/>
    <x v="56"/>
    <x v="3"/>
    <x v="0"/>
    <x v="0"/>
    <x v="0"/>
    <x v="6"/>
    <x v="3"/>
    <x v="7"/>
    <x v="3"/>
  </r>
  <r>
    <s v="TX501374"/>
    <x v="6"/>
    <x v="0"/>
    <n v="51.6"/>
    <n v="51.6"/>
    <x v="51"/>
    <x v="55"/>
    <x v="2"/>
    <x v="2"/>
    <x v="2"/>
    <x v="0"/>
    <x v="6"/>
    <x v="1"/>
    <x v="7"/>
    <x v="2"/>
  </r>
  <r>
    <s v="TX501375"/>
    <x v="10"/>
    <x v="2"/>
    <n v="26.7"/>
    <n v="80.099999999999994"/>
    <x v="51"/>
    <x v="52"/>
    <x v="2"/>
    <x v="2"/>
    <x v="1"/>
    <x v="0"/>
    <x v="6"/>
    <x v="0"/>
    <x v="7"/>
    <x v="2"/>
  </r>
  <r>
    <s v="TX501376"/>
    <x v="18"/>
    <x v="1"/>
    <n v="68.099999999999994"/>
    <n v="136.19999999999999"/>
    <x v="51"/>
    <x v="56"/>
    <x v="1"/>
    <x v="0"/>
    <x v="1"/>
    <x v="0"/>
    <x v="6"/>
    <x v="3"/>
    <x v="7"/>
    <x v="1"/>
  </r>
  <r>
    <s v="TX501377"/>
    <x v="1"/>
    <x v="0"/>
    <n v="81.7"/>
    <n v="81.7"/>
    <x v="51"/>
    <x v="56"/>
    <x v="1"/>
    <x v="0"/>
    <x v="0"/>
    <x v="0"/>
    <x v="7"/>
    <x v="3"/>
    <x v="7"/>
    <x v="1"/>
  </r>
  <r>
    <s v="TX501378"/>
    <x v="18"/>
    <x v="7"/>
    <n v="25.1"/>
    <n v="251"/>
    <x v="51"/>
    <x v="54"/>
    <x v="1"/>
    <x v="3"/>
    <x v="1"/>
    <x v="0"/>
    <x v="8"/>
    <x v="2"/>
    <x v="7"/>
    <x v="1"/>
  </r>
  <r>
    <s v="TX501379"/>
    <x v="8"/>
    <x v="0"/>
    <n v="20.2"/>
    <n v="20.2"/>
    <x v="51"/>
    <x v="51"/>
    <x v="2"/>
    <x v="0"/>
    <x v="0"/>
    <x v="0"/>
    <x v="8"/>
    <x v="5"/>
    <x v="7"/>
    <x v="2"/>
  </r>
  <r>
    <s v="TX501380"/>
    <x v="8"/>
    <x v="2"/>
    <n v="15.4"/>
    <n v="46.2"/>
    <x v="51"/>
    <x v="56"/>
    <x v="1"/>
    <x v="1"/>
    <x v="2"/>
    <x v="0"/>
    <x v="8"/>
    <x v="3"/>
    <x v="7"/>
    <x v="1"/>
  </r>
  <r>
    <s v="TX501381"/>
    <x v="10"/>
    <x v="0"/>
    <n v="59.2"/>
    <n v="59.2"/>
    <x v="51"/>
    <x v="56"/>
    <x v="1"/>
    <x v="2"/>
    <x v="2"/>
    <x v="0"/>
    <x v="17"/>
    <x v="3"/>
    <x v="7"/>
    <x v="1"/>
  </r>
  <r>
    <s v="TX501382"/>
    <x v="0"/>
    <x v="0"/>
    <n v="46.7"/>
    <n v="46.7"/>
    <x v="51"/>
    <x v="52"/>
    <x v="1"/>
    <x v="0"/>
    <x v="0"/>
    <x v="0"/>
    <x v="17"/>
    <x v="0"/>
    <x v="7"/>
    <x v="1"/>
  </r>
  <r>
    <s v="TX501383"/>
    <x v="6"/>
    <x v="20"/>
    <n v="41.6"/>
    <n v="624"/>
    <x v="51"/>
    <x v="55"/>
    <x v="1"/>
    <x v="1"/>
    <x v="0"/>
    <x v="0"/>
    <x v="26"/>
    <x v="1"/>
    <x v="7"/>
    <x v="1"/>
  </r>
  <r>
    <s v="TX501384"/>
    <x v="8"/>
    <x v="1"/>
    <n v="19.2"/>
    <n v="38.4"/>
    <x v="51"/>
    <x v="54"/>
    <x v="1"/>
    <x v="4"/>
    <x v="2"/>
    <x v="0"/>
    <x v="9"/>
    <x v="2"/>
    <x v="7"/>
    <x v="1"/>
  </r>
  <r>
    <s v="TX501385"/>
    <x v="17"/>
    <x v="3"/>
    <n v="41.8"/>
    <n v="292.59999999999997"/>
    <x v="51"/>
    <x v="55"/>
    <x v="2"/>
    <x v="2"/>
    <x v="0"/>
    <x v="0"/>
    <x v="11"/>
    <x v="1"/>
    <x v="7"/>
    <x v="2"/>
  </r>
  <r>
    <s v="TX501386"/>
    <x v="8"/>
    <x v="13"/>
    <n v="37.4"/>
    <n v="224.39999999999998"/>
    <x v="51"/>
    <x v="55"/>
    <x v="1"/>
    <x v="0"/>
    <x v="2"/>
    <x v="0"/>
    <x v="11"/>
    <x v="1"/>
    <x v="7"/>
    <x v="1"/>
  </r>
  <r>
    <s v="TX501387"/>
    <x v="10"/>
    <x v="2"/>
    <n v="60.2"/>
    <n v="180.60000000000002"/>
    <x v="51"/>
    <x v="54"/>
    <x v="1"/>
    <x v="4"/>
    <x v="1"/>
    <x v="0"/>
    <x v="38"/>
    <x v="2"/>
    <x v="7"/>
    <x v="1"/>
  </r>
  <r>
    <s v="TX501388"/>
    <x v="9"/>
    <x v="1"/>
    <n v="91.5"/>
    <n v="183"/>
    <x v="52"/>
    <x v="55"/>
    <x v="1"/>
    <x v="0"/>
    <x v="0"/>
    <x v="0"/>
    <x v="13"/>
    <x v="3"/>
    <x v="7"/>
    <x v="1"/>
  </r>
  <r>
    <s v="TX501389"/>
    <x v="3"/>
    <x v="9"/>
    <n v="55.7"/>
    <n v="278.5"/>
    <x v="52"/>
    <x v="54"/>
    <x v="0"/>
    <x v="1"/>
    <x v="2"/>
    <x v="0"/>
    <x v="21"/>
    <x v="1"/>
    <x v="7"/>
    <x v="0"/>
  </r>
  <r>
    <s v="TX501390"/>
    <x v="7"/>
    <x v="1"/>
    <n v="76.7"/>
    <n v="153.4"/>
    <x v="52"/>
    <x v="54"/>
    <x v="1"/>
    <x v="0"/>
    <x v="1"/>
    <x v="0"/>
    <x v="21"/>
    <x v="1"/>
    <x v="7"/>
    <x v="1"/>
  </r>
  <r>
    <s v="TX501391"/>
    <x v="8"/>
    <x v="38"/>
    <n v="28.2"/>
    <n v="592.19999999999993"/>
    <x v="52"/>
    <x v="53"/>
    <x v="1"/>
    <x v="2"/>
    <x v="0"/>
    <x v="0"/>
    <x v="1"/>
    <x v="0"/>
    <x v="7"/>
    <x v="1"/>
  </r>
  <r>
    <s v="TX501392"/>
    <x v="7"/>
    <x v="9"/>
    <n v="93.2"/>
    <n v="466"/>
    <x v="52"/>
    <x v="54"/>
    <x v="2"/>
    <x v="4"/>
    <x v="2"/>
    <x v="0"/>
    <x v="1"/>
    <x v="1"/>
    <x v="7"/>
    <x v="2"/>
  </r>
  <r>
    <s v="TX501393"/>
    <x v="17"/>
    <x v="0"/>
    <n v="33.299999999999997"/>
    <n v="33.299999999999997"/>
    <x v="52"/>
    <x v="55"/>
    <x v="1"/>
    <x v="4"/>
    <x v="0"/>
    <x v="0"/>
    <x v="2"/>
    <x v="3"/>
    <x v="7"/>
    <x v="1"/>
  </r>
  <r>
    <s v="TX501394"/>
    <x v="10"/>
    <x v="1"/>
    <n v="39.1"/>
    <n v="78.2"/>
    <x v="52"/>
    <x v="51"/>
    <x v="1"/>
    <x v="0"/>
    <x v="0"/>
    <x v="0"/>
    <x v="44"/>
    <x v="2"/>
    <x v="7"/>
    <x v="1"/>
  </r>
  <r>
    <s v="TX501395"/>
    <x v="7"/>
    <x v="4"/>
    <n v="45.3"/>
    <n v="543.59999999999991"/>
    <x v="52"/>
    <x v="55"/>
    <x v="1"/>
    <x v="2"/>
    <x v="0"/>
    <x v="0"/>
    <x v="33"/>
    <x v="3"/>
    <x v="7"/>
    <x v="1"/>
  </r>
  <r>
    <s v="TX501396"/>
    <x v="9"/>
    <x v="3"/>
    <n v="33.9"/>
    <n v="237.29999999999998"/>
    <x v="52"/>
    <x v="55"/>
    <x v="1"/>
    <x v="4"/>
    <x v="0"/>
    <x v="0"/>
    <x v="33"/>
    <x v="3"/>
    <x v="7"/>
    <x v="1"/>
  </r>
  <r>
    <s v="TX501397"/>
    <x v="8"/>
    <x v="2"/>
    <n v="19"/>
    <n v="57"/>
    <x v="52"/>
    <x v="55"/>
    <x v="1"/>
    <x v="0"/>
    <x v="2"/>
    <x v="0"/>
    <x v="15"/>
    <x v="3"/>
    <x v="7"/>
    <x v="1"/>
  </r>
  <r>
    <s v="TX501398"/>
    <x v="4"/>
    <x v="0"/>
    <n v="41.9"/>
    <n v="41.9"/>
    <x v="52"/>
    <x v="51"/>
    <x v="2"/>
    <x v="2"/>
    <x v="0"/>
    <x v="0"/>
    <x v="22"/>
    <x v="2"/>
    <x v="7"/>
    <x v="2"/>
  </r>
  <r>
    <s v="TX501399"/>
    <x v="1"/>
    <x v="12"/>
    <n v="37.5"/>
    <n v="150"/>
    <x v="52"/>
    <x v="56"/>
    <x v="2"/>
    <x v="0"/>
    <x v="0"/>
    <x v="0"/>
    <x v="3"/>
    <x v="7"/>
    <x v="7"/>
    <x v="2"/>
  </r>
  <r>
    <s v="TX501400"/>
    <x v="0"/>
    <x v="1"/>
    <n v="40.799999999999997"/>
    <n v="81.599999999999994"/>
    <x v="52"/>
    <x v="51"/>
    <x v="1"/>
    <x v="0"/>
    <x v="0"/>
    <x v="0"/>
    <x v="3"/>
    <x v="2"/>
    <x v="7"/>
    <x v="1"/>
  </r>
  <r>
    <s v="TX501401"/>
    <x v="0"/>
    <x v="12"/>
    <n v="23.1"/>
    <n v="92.4"/>
    <x v="52"/>
    <x v="55"/>
    <x v="2"/>
    <x v="4"/>
    <x v="0"/>
    <x v="0"/>
    <x v="3"/>
    <x v="3"/>
    <x v="7"/>
    <x v="2"/>
  </r>
  <r>
    <s v="TX501402"/>
    <x v="8"/>
    <x v="9"/>
    <n v="39.299999999999997"/>
    <n v="196.5"/>
    <x v="52"/>
    <x v="55"/>
    <x v="2"/>
    <x v="0"/>
    <x v="0"/>
    <x v="0"/>
    <x v="3"/>
    <x v="3"/>
    <x v="7"/>
    <x v="2"/>
  </r>
  <r>
    <s v="TX501403"/>
    <x v="2"/>
    <x v="12"/>
    <n v="85.2"/>
    <n v="340.8"/>
    <x v="52"/>
    <x v="53"/>
    <x v="1"/>
    <x v="2"/>
    <x v="0"/>
    <x v="0"/>
    <x v="3"/>
    <x v="0"/>
    <x v="7"/>
    <x v="1"/>
  </r>
  <r>
    <s v="TX501404"/>
    <x v="8"/>
    <x v="13"/>
    <n v="16"/>
    <n v="96"/>
    <x v="52"/>
    <x v="51"/>
    <x v="1"/>
    <x v="1"/>
    <x v="0"/>
    <x v="0"/>
    <x v="3"/>
    <x v="2"/>
    <x v="7"/>
    <x v="1"/>
  </r>
  <r>
    <s v="TX501405"/>
    <x v="1"/>
    <x v="1"/>
    <n v="33.799999999999997"/>
    <n v="67.599999999999994"/>
    <x v="52"/>
    <x v="52"/>
    <x v="2"/>
    <x v="1"/>
    <x v="0"/>
    <x v="0"/>
    <x v="3"/>
    <x v="5"/>
    <x v="7"/>
    <x v="2"/>
  </r>
  <r>
    <s v="TX501406"/>
    <x v="3"/>
    <x v="0"/>
    <n v="70"/>
    <n v="70"/>
    <x v="52"/>
    <x v="55"/>
    <x v="2"/>
    <x v="0"/>
    <x v="0"/>
    <x v="0"/>
    <x v="3"/>
    <x v="3"/>
    <x v="7"/>
    <x v="2"/>
  </r>
  <r>
    <s v="TX501407"/>
    <x v="9"/>
    <x v="0"/>
    <n v="88"/>
    <n v="88"/>
    <x v="52"/>
    <x v="53"/>
    <x v="2"/>
    <x v="3"/>
    <x v="0"/>
    <x v="0"/>
    <x v="3"/>
    <x v="0"/>
    <x v="7"/>
    <x v="2"/>
  </r>
  <r>
    <s v="TX501408"/>
    <x v="2"/>
    <x v="2"/>
    <n v="74.099999999999994"/>
    <n v="222.29999999999998"/>
    <x v="52"/>
    <x v="56"/>
    <x v="1"/>
    <x v="4"/>
    <x v="1"/>
    <x v="0"/>
    <x v="3"/>
    <x v="7"/>
    <x v="7"/>
    <x v="1"/>
  </r>
  <r>
    <s v="TX501409"/>
    <x v="2"/>
    <x v="0"/>
    <n v="161.9"/>
    <n v="161.9"/>
    <x v="52"/>
    <x v="54"/>
    <x v="1"/>
    <x v="2"/>
    <x v="0"/>
    <x v="0"/>
    <x v="3"/>
    <x v="1"/>
    <x v="7"/>
    <x v="1"/>
  </r>
  <r>
    <s v="TX501410"/>
    <x v="4"/>
    <x v="1"/>
    <n v="44"/>
    <n v="88"/>
    <x v="52"/>
    <x v="55"/>
    <x v="3"/>
    <x v="4"/>
    <x v="1"/>
    <x v="0"/>
    <x v="3"/>
    <x v="3"/>
    <x v="7"/>
    <x v="3"/>
  </r>
  <r>
    <s v="TX501411"/>
    <x v="11"/>
    <x v="0"/>
    <n v="32.1"/>
    <n v="32.1"/>
    <x v="52"/>
    <x v="56"/>
    <x v="2"/>
    <x v="3"/>
    <x v="3"/>
    <x v="0"/>
    <x v="3"/>
    <x v="7"/>
    <x v="7"/>
    <x v="2"/>
  </r>
  <r>
    <s v="TX501412"/>
    <x v="2"/>
    <x v="12"/>
    <n v="104.8"/>
    <n v="419.2"/>
    <x v="53"/>
    <x v="51"/>
    <x v="3"/>
    <x v="0"/>
    <x v="0"/>
    <x v="0"/>
    <x v="3"/>
    <x v="1"/>
    <x v="8"/>
    <x v="3"/>
  </r>
  <r>
    <s v="TX501413"/>
    <x v="9"/>
    <x v="13"/>
    <n v="67.400000000000006"/>
    <n v="404.40000000000003"/>
    <x v="53"/>
    <x v="54"/>
    <x v="2"/>
    <x v="3"/>
    <x v="0"/>
    <x v="0"/>
    <x v="3"/>
    <x v="3"/>
    <x v="8"/>
    <x v="2"/>
  </r>
  <r>
    <s v="TX501414"/>
    <x v="6"/>
    <x v="1"/>
    <n v="115.2"/>
    <n v="230.4"/>
    <x v="53"/>
    <x v="54"/>
    <x v="2"/>
    <x v="1"/>
    <x v="0"/>
    <x v="0"/>
    <x v="4"/>
    <x v="3"/>
    <x v="8"/>
    <x v="2"/>
  </r>
  <r>
    <s v="TX501415"/>
    <x v="8"/>
    <x v="19"/>
    <n v="15.5"/>
    <n v="449.5"/>
    <x v="53"/>
    <x v="51"/>
    <x v="2"/>
    <x v="0"/>
    <x v="1"/>
    <x v="0"/>
    <x v="23"/>
    <x v="1"/>
    <x v="8"/>
    <x v="2"/>
  </r>
  <r>
    <s v="TX501416"/>
    <x v="6"/>
    <x v="5"/>
    <n v="66.400000000000006"/>
    <n v="730.40000000000009"/>
    <x v="53"/>
    <x v="51"/>
    <x v="2"/>
    <x v="0"/>
    <x v="0"/>
    <x v="0"/>
    <x v="6"/>
    <x v="1"/>
    <x v="8"/>
    <x v="2"/>
  </r>
  <r>
    <s v="TX501417"/>
    <x v="9"/>
    <x v="4"/>
    <n v="68.099999999999994"/>
    <n v="817.19999999999993"/>
    <x v="53"/>
    <x v="54"/>
    <x v="2"/>
    <x v="2"/>
    <x v="0"/>
    <x v="0"/>
    <x v="8"/>
    <x v="3"/>
    <x v="8"/>
    <x v="2"/>
  </r>
  <r>
    <s v="TX501418"/>
    <x v="8"/>
    <x v="9"/>
    <n v="32.5"/>
    <n v="162.5"/>
    <x v="53"/>
    <x v="53"/>
    <x v="1"/>
    <x v="2"/>
    <x v="1"/>
    <x v="0"/>
    <x v="8"/>
    <x v="5"/>
    <x v="8"/>
    <x v="1"/>
  </r>
  <r>
    <s v="TX501419"/>
    <x v="15"/>
    <x v="2"/>
    <n v="61.2"/>
    <n v="183.60000000000002"/>
    <x v="53"/>
    <x v="51"/>
    <x v="2"/>
    <x v="1"/>
    <x v="1"/>
    <x v="0"/>
    <x v="8"/>
    <x v="1"/>
    <x v="8"/>
    <x v="2"/>
  </r>
  <r>
    <s v="TX501420"/>
    <x v="9"/>
    <x v="1"/>
    <n v="54.2"/>
    <n v="108.4"/>
    <x v="53"/>
    <x v="54"/>
    <x v="2"/>
    <x v="1"/>
    <x v="0"/>
    <x v="0"/>
    <x v="8"/>
    <x v="3"/>
    <x v="8"/>
    <x v="2"/>
  </r>
  <r>
    <s v="TX501421"/>
    <x v="11"/>
    <x v="8"/>
    <n v="28.7"/>
    <n v="229.6"/>
    <x v="53"/>
    <x v="51"/>
    <x v="1"/>
    <x v="1"/>
    <x v="0"/>
    <x v="0"/>
    <x v="9"/>
    <x v="1"/>
    <x v="8"/>
    <x v="1"/>
  </r>
  <r>
    <s v="TX501422"/>
    <x v="12"/>
    <x v="13"/>
    <n v="38.200000000000003"/>
    <n v="229.20000000000002"/>
    <x v="53"/>
    <x v="53"/>
    <x v="2"/>
    <x v="0"/>
    <x v="1"/>
    <x v="0"/>
    <x v="9"/>
    <x v="5"/>
    <x v="8"/>
    <x v="2"/>
  </r>
  <r>
    <s v="TX501423"/>
    <x v="8"/>
    <x v="4"/>
    <n v="17.600000000000001"/>
    <n v="211.20000000000002"/>
    <x v="53"/>
    <x v="54"/>
    <x v="2"/>
    <x v="2"/>
    <x v="1"/>
    <x v="0"/>
    <x v="9"/>
    <x v="3"/>
    <x v="8"/>
    <x v="2"/>
  </r>
  <r>
    <s v="TX501424"/>
    <x v="10"/>
    <x v="2"/>
    <n v="74.599999999999994"/>
    <n v="223.79999999999998"/>
    <x v="53"/>
    <x v="55"/>
    <x v="2"/>
    <x v="2"/>
    <x v="0"/>
    <x v="0"/>
    <x v="11"/>
    <x v="7"/>
    <x v="8"/>
    <x v="2"/>
  </r>
  <r>
    <s v="TX501425"/>
    <x v="16"/>
    <x v="20"/>
    <n v="72.599999999999994"/>
    <n v="1089"/>
    <x v="53"/>
    <x v="55"/>
    <x v="0"/>
    <x v="1"/>
    <x v="1"/>
    <x v="0"/>
    <x v="11"/>
    <x v="7"/>
    <x v="8"/>
    <x v="0"/>
  </r>
  <r>
    <s v="TX501426"/>
    <x v="7"/>
    <x v="0"/>
    <n v="62.3"/>
    <n v="62.3"/>
    <x v="53"/>
    <x v="54"/>
    <x v="2"/>
    <x v="1"/>
    <x v="0"/>
    <x v="0"/>
    <x v="11"/>
    <x v="3"/>
    <x v="8"/>
    <x v="2"/>
  </r>
  <r>
    <s v="TX501427"/>
    <x v="3"/>
    <x v="2"/>
    <n v="33.799999999999997"/>
    <n v="101.39999999999999"/>
    <x v="53"/>
    <x v="51"/>
    <x v="1"/>
    <x v="0"/>
    <x v="2"/>
    <x v="0"/>
    <x v="20"/>
    <x v="1"/>
    <x v="8"/>
    <x v="1"/>
  </r>
  <r>
    <s v="TX501428"/>
    <x v="9"/>
    <x v="0"/>
    <n v="85.7"/>
    <n v="85.7"/>
    <x v="53"/>
    <x v="52"/>
    <x v="1"/>
    <x v="3"/>
    <x v="1"/>
    <x v="0"/>
    <x v="21"/>
    <x v="2"/>
    <x v="8"/>
    <x v="1"/>
  </r>
  <r>
    <s v="TX501429"/>
    <x v="6"/>
    <x v="1"/>
    <n v="92.1"/>
    <n v="184.2"/>
    <x v="53"/>
    <x v="51"/>
    <x v="1"/>
    <x v="1"/>
    <x v="0"/>
    <x v="0"/>
    <x v="21"/>
    <x v="1"/>
    <x v="8"/>
    <x v="1"/>
  </r>
  <r>
    <s v="TX501430"/>
    <x v="16"/>
    <x v="2"/>
    <n v="65.099999999999994"/>
    <n v="195.29999999999998"/>
    <x v="53"/>
    <x v="52"/>
    <x v="1"/>
    <x v="0"/>
    <x v="0"/>
    <x v="0"/>
    <x v="1"/>
    <x v="2"/>
    <x v="8"/>
    <x v="1"/>
  </r>
  <r>
    <s v="TX501431"/>
    <x v="9"/>
    <x v="3"/>
    <n v="20.3"/>
    <n v="142.1"/>
    <x v="53"/>
    <x v="54"/>
    <x v="2"/>
    <x v="2"/>
    <x v="2"/>
    <x v="0"/>
    <x v="2"/>
    <x v="3"/>
    <x v="8"/>
    <x v="2"/>
  </r>
  <r>
    <s v="TX501432"/>
    <x v="19"/>
    <x v="1"/>
    <n v="29.8"/>
    <n v="59.6"/>
    <x v="53"/>
    <x v="51"/>
    <x v="2"/>
    <x v="1"/>
    <x v="2"/>
    <x v="0"/>
    <x v="34"/>
    <x v="1"/>
    <x v="8"/>
    <x v="2"/>
  </r>
  <r>
    <s v="TX501433"/>
    <x v="0"/>
    <x v="1"/>
    <n v="24.2"/>
    <n v="48.4"/>
    <x v="53"/>
    <x v="51"/>
    <x v="2"/>
    <x v="3"/>
    <x v="2"/>
    <x v="0"/>
    <x v="3"/>
    <x v="1"/>
    <x v="8"/>
    <x v="2"/>
  </r>
  <r>
    <s v="TX501434"/>
    <x v="3"/>
    <x v="0"/>
    <n v="57.3"/>
    <n v="57.3"/>
    <x v="53"/>
    <x v="51"/>
    <x v="1"/>
    <x v="0"/>
    <x v="0"/>
    <x v="0"/>
    <x v="3"/>
    <x v="1"/>
    <x v="8"/>
    <x v="1"/>
  </r>
  <r>
    <s v="TX501435"/>
    <x v="2"/>
    <x v="0"/>
    <n v="108.9"/>
    <n v="108.9"/>
    <x v="53"/>
    <x v="51"/>
    <x v="2"/>
    <x v="1"/>
    <x v="0"/>
    <x v="0"/>
    <x v="3"/>
    <x v="1"/>
    <x v="8"/>
    <x v="2"/>
  </r>
  <r>
    <s v="TX501436"/>
    <x v="7"/>
    <x v="9"/>
    <n v="50.7"/>
    <n v="253.5"/>
    <x v="53"/>
    <x v="54"/>
    <x v="2"/>
    <x v="0"/>
    <x v="0"/>
    <x v="0"/>
    <x v="3"/>
    <x v="3"/>
    <x v="8"/>
    <x v="2"/>
  </r>
  <r>
    <s v="TX501437"/>
    <x v="7"/>
    <x v="11"/>
    <n v="66.099999999999994"/>
    <n v="594.9"/>
    <x v="53"/>
    <x v="60"/>
    <x v="2"/>
    <x v="1"/>
    <x v="0"/>
    <x v="0"/>
    <x v="3"/>
    <x v="12"/>
    <x v="8"/>
    <x v="2"/>
  </r>
  <r>
    <s v="TX501438"/>
    <x v="12"/>
    <x v="9"/>
    <n v="36.700000000000003"/>
    <n v="183.5"/>
    <x v="53"/>
    <x v="53"/>
    <x v="2"/>
    <x v="4"/>
    <x v="0"/>
    <x v="0"/>
    <x v="3"/>
    <x v="5"/>
    <x v="8"/>
    <x v="2"/>
  </r>
  <r>
    <s v="TX501439"/>
    <x v="8"/>
    <x v="14"/>
    <n v="19.3"/>
    <n v="328.1"/>
    <x v="53"/>
    <x v="51"/>
    <x v="1"/>
    <x v="0"/>
    <x v="0"/>
    <x v="0"/>
    <x v="43"/>
    <x v="1"/>
    <x v="8"/>
    <x v="1"/>
  </r>
  <r>
    <s v="TX501440"/>
    <x v="8"/>
    <x v="12"/>
    <n v="20.7"/>
    <n v="82.8"/>
    <x v="53"/>
    <x v="54"/>
    <x v="1"/>
    <x v="1"/>
    <x v="2"/>
    <x v="0"/>
    <x v="6"/>
    <x v="3"/>
    <x v="8"/>
    <x v="1"/>
  </r>
  <r>
    <s v="TX501441"/>
    <x v="5"/>
    <x v="2"/>
    <n v="54.7"/>
    <n v="164.10000000000002"/>
    <x v="53"/>
    <x v="55"/>
    <x v="3"/>
    <x v="1"/>
    <x v="4"/>
    <x v="0"/>
    <x v="6"/>
    <x v="7"/>
    <x v="8"/>
    <x v="3"/>
  </r>
  <r>
    <s v="TX501442"/>
    <x v="4"/>
    <x v="1"/>
    <n v="19.8"/>
    <n v="39.6"/>
    <x v="53"/>
    <x v="53"/>
    <x v="2"/>
    <x v="4"/>
    <x v="1"/>
    <x v="0"/>
    <x v="8"/>
    <x v="5"/>
    <x v="8"/>
    <x v="2"/>
  </r>
  <r>
    <s v="TX501443"/>
    <x v="7"/>
    <x v="0"/>
    <n v="41.1"/>
    <n v="41.1"/>
    <x v="53"/>
    <x v="51"/>
    <x v="2"/>
    <x v="0"/>
    <x v="2"/>
    <x v="0"/>
    <x v="8"/>
    <x v="1"/>
    <x v="8"/>
    <x v="2"/>
  </r>
  <r>
    <s v="TX501444"/>
    <x v="11"/>
    <x v="8"/>
    <n v="43.5"/>
    <n v="348"/>
    <x v="53"/>
    <x v="53"/>
    <x v="2"/>
    <x v="3"/>
    <x v="0"/>
    <x v="0"/>
    <x v="8"/>
    <x v="5"/>
    <x v="8"/>
    <x v="2"/>
  </r>
  <r>
    <s v="TX501445"/>
    <x v="8"/>
    <x v="21"/>
    <n v="19"/>
    <n v="266"/>
    <x v="53"/>
    <x v="54"/>
    <x v="1"/>
    <x v="0"/>
    <x v="0"/>
    <x v="0"/>
    <x v="26"/>
    <x v="3"/>
    <x v="8"/>
    <x v="1"/>
  </r>
  <r>
    <s v="TX501446"/>
    <x v="2"/>
    <x v="12"/>
    <n v="51.4"/>
    <n v="205.6"/>
    <x v="53"/>
    <x v="55"/>
    <x v="2"/>
    <x v="0"/>
    <x v="0"/>
    <x v="0"/>
    <x v="26"/>
    <x v="7"/>
    <x v="8"/>
    <x v="2"/>
  </r>
  <r>
    <s v="TX501447"/>
    <x v="10"/>
    <x v="1"/>
    <n v="39.799999999999997"/>
    <n v="79.599999999999994"/>
    <x v="53"/>
    <x v="52"/>
    <x v="1"/>
    <x v="3"/>
    <x v="1"/>
    <x v="0"/>
    <x v="13"/>
    <x v="2"/>
    <x v="8"/>
    <x v="1"/>
  </r>
  <r>
    <s v="TX501448"/>
    <x v="6"/>
    <x v="9"/>
    <n v="61"/>
    <n v="305"/>
    <x v="53"/>
    <x v="54"/>
    <x v="0"/>
    <x v="0"/>
    <x v="2"/>
    <x v="0"/>
    <x v="21"/>
    <x v="3"/>
    <x v="8"/>
    <x v="0"/>
  </r>
  <r>
    <s v="TX501449"/>
    <x v="8"/>
    <x v="5"/>
    <n v="15.1"/>
    <n v="166.1"/>
    <x v="54"/>
    <x v="59"/>
    <x v="1"/>
    <x v="3"/>
    <x v="2"/>
    <x v="0"/>
    <x v="2"/>
    <x v="0"/>
    <x v="8"/>
    <x v="1"/>
  </r>
  <r>
    <s v="TX501450"/>
    <x v="1"/>
    <x v="3"/>
    <n v="71.3"/>
    <n v="499.09999999999997"/>
    <x v="54"/>
    <x v="51"/>
    <x v="1"/>
    <x v="4"/>
    <x v="0"/>
    <x v="0"/>
    <x v="3"/>
    <x v="3"/>
    <x v="8"/>
    <x v="1"/>
  </r>
  <r>
    <s v="TX501451"/>
    <x v="10"/>
    <x v="0"/>
    <n v="25.8"/>
    <n v="25.8"/>
    <x v="54"/>
    <x v="52"/>
    <x v="2"/>
    <x v="0"/>
    <x v="2"/>
    <x v="0"/>
    <x v="3"/>
    <x v="1"/>
    <x v="8"/>
    <x v="2"/>
  </r>
  <r>
    <s v="TX501452"/>
    <x v="8"/>
    <x v="9"/>
    <n v="39.6"/>
    <n v="198"/>
    <x v="54"/>
    <x v="52"/>
    <x v="1"/>
    <x v="1"/>
    <x v="2"/>
    <x v="0"/>
    <x v="3"/>
    <x v="1"/>
    <x v="8"/>
    <x v="1"/>
  </r>
  <r>
    <s v="TX501453"/>
    <x v="5"/>
    <x v="1"/>
    <n v="64"/>
    <n v="128"/>
    <x v="54"/>
    <x v="54"/>
    <x v="1"/>
    <x v="1"/>
    <x v="1"/>
    <x v="0"/>
    <x v="3"/>
    <x v="7"/>
    <x v="8"/>
    <x v="1"/>
  </r>
  <r>
    <s v="TX501454"/>
    <x v="8"/>
    <x v="1"/>
    <n v="30.6"/>
    <n v="61.2"/>
    <x v="54"/>
    <x v="53"/>
    <x v="1"/>
    <x v="0"/>
    <x v="2"/>
    <x v="0"/>
    <x v="3"/>
    <x v="2"/>
    <x v="8"/>
    <x v="1"/>
  </r>
  <r>
    <s v="TX501455"/>
    <x v="8"/>
    <x v="1"/>
    <n v="21.3"/>
    <n v="42.6"/>
    <x v="54"/>
    <x v="51"/>
    <x v="1"/>
    <x v="0"/>
    <x v="1"/>
    <x v="0"/>
    <x v="3"/>
    <x v="3"/>
    <x v="8"/>
    <x v="1"/>
  </r>
  <r>
    <s v="TX501456"/>
    <x v="7"/>
    <x v="0"/>
    <n v="40.799999999999997"/>
    <n v="40.799999999999997"/>
    <x v="54"/>
    <x v="52"/>
    <x v="2"/>
    <x v="4"/>
    <x v="0"/>
    <x v="0"/>
    <x v="3"/>
    <x v="1"/>
    <x v="8"/>
    <x v="2"/>
  </r>
  <r>
    <s v="TX501457"/>
    <x v="9"/>
    <x v="12"/>
    <n v="27.7"/>
    <n v="110.8"/>
    <x v="54"/>
    <x v="51"/>
    <x v="2"/>
    <x v="0"/>
    <x v="1"/>
    <x v="0"/>
    <x v="3"/>
    <x v="3"/>
    <x v="8"/>
    <x v="2"/>
  </r>
  <r>
    <s v="TX501458"/>
    <x v="6"/>
    <x v="1"/>
    <n v="64.599999999999994"/>
    <n v="129.19999999999999"/>
    <x v="54"/>
    <x v="51"/>
    <x v="1"/>
    <x v="0"/>
    <x v="1"/>
    <x v="0"/>
    <x v="3"/>
    <x v="3"/>
    <x v="8"/>
    <x v="1"/>
  </r>
  <r>
    <s v="TX501459"/>
    <x v="6"/>
    <x v="27"/>
    <n v="91.1"/>
    <n v="1457.6"/>
    <x v="54"/>
    <x v="51"/>
    <x v="2"/>
    <x v="1"/>
    <x v="2"/>
    <x v="0"/>
    <x v="3"/>
    <x v="3"/>
    <x v="8"/>
    <x v="2"/>
  </r>
  <r>
    <s v="TX501460"/>
    <x v="1"/>
    <x v="0"/>
    <n v="39.5"/>
    <n v="39.5"/>
    <x v="54"/>
    <x v="61"/>
    <x v="2"/>
    <x v="0"/>
    <x v="0"/>
    <x v="0"/>
    <x v="3"/>
    <x v="9"/>
    <x v="8"/>
    <x v="2"/>
  </r>
  <r>
    <s v="TX501461"/>
    <x v="9"/>
    <x v="1"/>
    <n v="21.8"/>
    <n v="43.6"/>
    <x v="54"/>
    <x v="58"/>
    <x v="1"/>
    <x v="4"/>
    <x v="2"/>
    <x v="0"/>
    <x v="3"/>
    <x v="5"/>
    <x v="8"/>
    <x v="1"/>
  </r>
  <r>
    <s v="TX501462"/>
    <x v="8"/>
    <x v="1"/>
    <n v="51"/>
    <n v="102"/>
    <x v="54"/>
    <x v="53"/>
    <x v="1"/>
    <x v="3"/>
    <x v="2"/>
    <x v="0"/>
    <x v="3"/>
    <x v="2"/>
    <x v="8"/>
    <x v="1"/>
  </r>
  <r>
    <s v="TX501463"/>
    <x v="2"/>
    <x v="0"/>
    <n v="92.6"/>
    <n v="92.6"/>
    <x v="54"/>
    <x v="53"/>
    <x v="2"/>
    <x v="0"/>
    <x v="2"/>
    <x v="0"/>
    <x v="35"/>
    <x v="2"/>
    <x v="8"/>
    <x v="2"/>
  </r>
  <r>
    <s v="TX501464"/>
    <x v="9"/>
    <x v="1"/>
    <n v="31.1"/>
    <n v="62.2"/>
    <x v="54"/>
    <x v="59"/>
    <x v="0"/>
    <x v="1"/>
    <x v="3"/>
    <x v="0"/>
    <x v="23"/>
    <x v="0"/>
    <x v="8"/>
    <x v="0"/>
  </r>
  <r>
    <s v="TX501465"/>
    <x v="5"/>
    <x v="2"/>
    <n v="56.4"/>
    <n v="169.2"/>
    <x v="54"/>
    <x v="51"/>
    <x v="0"/>
    <x v="1"/>
    <x v="0"/>
    <x v="0"/>
    <x v="6"/>
    <x v="3"/>
    <x v="8"/>
    <x v="0"/>
  </r>
  <r>
    <s v="TX501466"/>
    <x v="9"/>
    <x v="0"/>
    <n v="41.9"/>
    <n v="41.9"/>
    <x v="54"/>
    <x v="54"/>
    <x v="1"/>
    <x v="1"/>
    <x v="0"/>
    <x v="0"/>
    <x v="6"/>
    <x v="7"/>
    <x v="8"/>
    <x v="1"/>
  </r>
  <r>
    <s v="TX501467"/>
    <x v="10"/>
    <x v="3"/>
    <n v="45.9"/>
    <n v="321.3"/>
    <x v="54"/>
    <x v="51"/>
    <x v="1"/>
    <x v="3"/>
    <x v="2"/>
    <x v="0"/>
    <x v="8"/>
    <x v="3"/>
    <x v="8"/>
    <x v="1"/>
  </r>
  <r>
    <s v="TX501468"/>
    <x v="14"/>
    <x v="11"/>
    <n v="24.4"/>
    <n v="219.6"/>
    <x v="54"/>
    <x v="58"/>
    <x v="1"/>
    <x v="3"/>
    <x v="2"/>
    <x v="0"/>
    <x v="8"/>
    <x v="5"/>
    <x v="8"/>
    <x v="1"/>
  </r>
  <r>
    <s v="TX501469"/>
    <x v="8"/>
    <x v="0"/>
    <n v="18.2"/>
    <n v="18.2"/>
    <x v="54"/>
    <x v="51"/>
    <x v="2"/>
    <x v="2"/>
    <x v="2"/>
    <x v="0"/>
    <x v="8"/>
    <x v="3"/>
    <x v="8"/>
    <x v="2"/>
  </r>
  <r>
    <s v="TX501470"/>
    <x v="8"/>
    <x v="12"/>
    <n v="51.2"/>
    <n v="204.8"/>
    <x v="54"/>
    <x v="51"/>
    <x v="2"/>
    <x v="0"/>
    <x v="0"/>
    <x v="0"/>
    <x v="8"/>
    <x v="3"/>
    <x v="8"/>
    <x v="2"/>
  </r>
  <r>
    <s v="TX501471"/>
    <x v="6"/>
    <x v="0"/>
    <n v="59.7"/>
    <n v="59.7"/>
    <x v="54"/>
    <x v="53"/>
    <x v="1"/>
    <x v="0"/>
    <x v="2"/>
    <x v="0"/>
    <x v="8"/>
    <x v="2"/>
    <x v="8"/>
    <x v="1"/>
  </r>
  <r>
    <s v="TX501472"/>
    <x v="4"/>
    <x v="1"/>
    <n v="33.6"/>
    <n v="67.2"/>
    <x v="54"/>
    <x v="52"/>
    <x v="2"/>
    <x v="0"/>
    <x v="0"/>
    <x v="0"/>
    <x v="17"/>
    <x v="1"/>
    <x v="8"/>
    <x v="2"/>
  </r>
  <r>
    <s v="TX501473"/>
    <x v="12"/>
    <x v="0"/>
    <n v="90.4"/>
    <n v="90.4"/>
    <x v="54"/>
    <x v="58"/>
    <x v="1"/>
    <x v="1"/>
    <x v="2"/>
    <x v="0"/>
    <x v="10"/>
    <x v="5"/>
    <x v="8"/>
    <x v="1"/>
  </r>
  <r>
    <s v="TX501474"/>
    <x v="11"/>
    <x v="2"/>
    <n v="70.3"/>
    <n v="210.89999999999998"/>
    <x v="54"/>
    <x v="54"/>
    <x v="1"/>
    <x v="1"/>
    <x v="2"/>
    <x v="0"/>
    <x v="11"/>
    <x v="7"/>
    <x v="8"/>
    <x v="1"/>
  </r>
  <r>
    <s v="TX501475"/>
    <x v="4"/>
    <x v="1"/>
    <n v="20.5"/>
    <n v="41"/>
    <x v="54"/>
    <x v="53"/>
    <x v="2"/>
    <x v="0"/>
    <x v="1"/>
    <x v="0"/>
    <x v="11"/>
    <x v="2"/>
    <x v="8"/>
    <x v="2"/>
  </r>
  <r>
    <s v="TX501476"/>
    <x v="5"/>
    <x v="5"/>
    <n v="37.6"/>
    <n v="413.6"/>
    <x v="54"/>
    <x v="51"/>
    <x v="1"/>
    <x v="0"/>
    <x v="0"/>
    <x v="0"/>
    <x v="38"/>
    <x v="3"/>
    <x v="8"/>
    <x v="1"/>
  </r>
  <r>
    <s v="TX501477"/>
    <x v="5"/>
    <x v="12"/>
    <n v="61.5"/>
    <n v="246"/>
    <x v="54"/>
    <x v="62"/>
    <x v="2"/>
    <x v="1"/>
    <x v="4"/>
    <x v="0"/>
    <x v="13"/>
    <x v="6"/>
    <x v="8"/>
    <x v="2"/>
  </r>
  <r>
    <s v="TX501478"/>
    <x v="9"/>
    <x v="0"/>
    <n v="33.5"/>
    <n v="33.5"/>
    <x v="55"/>
    <x v="59"/>
    <x v="1"/>
    <x v="4"/>
    <x v="1"/>
    <x v="0"/>
    <x v="21"/>
    <x v="5"/>
    <x v="8"/>
    <x v="1"/>
  </r>
  <r>
    <s v="TX501479"/>
    <x v="4"/>
    <x v="2"/>
    <n v="29.3"/>
    <n v="87.9"/>
    <x v="55"/>
    <x v="53"/>
    <x v="2"/>
    <x v="1"/>
    <x v="2"/>
    <x v="0"/>
    <x v="1"/>
    <x v="1"/>
    <x v="8"/>
    <x v="2"/>
  </r>
  <r>
    <s v="TX501480"/>
    <x v="2"/>
    <x v="1"/>
    <n v="125.9"/>
    <n v="251.8"/>
    <x v="55"/>
    <x v="57"/>
    <x v="2"/>
    <x v="4"/>
    <x v="1"/>
    <x v="0"/>
    <x v="1"/>
    <x v="0"/>
    <x v="8"/>
    <x v="2"/>
  </r>
  <r>
    <s v="TX501481"/>
    <x v="5"/>
    <x v="9"/>
    <n v="29.3"/>
    <n v="146.5"/>
    <x v="55"/>
    <x v="51"/>
    <x v="1"/>
    <x v="2"/>
    <x v="0"/>
    <x v="0"/>
    <x v="44"/>
    <x v="7"/>
    <x v="8"/>
    <x v="1"/>
  </r>
  <r>
    <s v="TX501482"/>
    <x v="9"/>
    <x v="0"/>
    <n v="37.799999999999997"/>
    <n v="37.799999999999997"/>
    <x v="55"/>
    <x v="58"/>
    <x v="2"/>
    <x v="0"/>
    <x v="2"/>
    <x v="0"/>
    <x v="3"/>
    <x v="2"/>
    <x v="8"/>
    <x v="2"/>
  </r>
  <r>
    <s v="TX501483"/>
    <x v="0"/>
    <x v="12"/>
    <n v="31.7"/>
    <n v="126.8"/>
    <x v="55"/>
    <x v="52"/>
    <x v="1"/>
    <x v="2"/>
    <x v="2"/>
    <x v="0"/>
    <x v="3"/>
    <x v="3"/>
    <x v="8"/>
    <x v="1"/>
  </r>
  <r>
    <s v="TX501484"/>
    <x v="8"/>
    <x v="9"/>
    <n v="26.3"/>
    <n v="131.5"/>
    <x v="55"/>
    <x v="52"/>
    <x v="2"/>
    <x v="3"/>
    <x v="2"/>
    <x v="0"/>
    <x v="3"/>
    <x v="3"/>
    <x v="8"/>
    <x v="2"/>
  </r>
  <r>
    <s v="TX501485"/>
    <x v="8"/>
    <x v="2"/>
    <n v="23.1"/>
    <n v="69.300000000000011"/>
    <x v="55"/>
    <x v="52"/>
    <x v="3"/>
    <x v="2"/>
    <x v="1"/>
    <x v="0"/>
    <x v="3"/>
    <x v="3"/>
    <x v="8"/>
    <x v="3"/>
  </r>
  <r>
    <s v="TX501486"/>
    <x v="4"/>
    <x v="0"/>
    <n v="22.3"/>
    <n v="22.3"/>
    <x v="55"/>
    <x v="53"/>
    <x v="2"/>
    <x v="2"/>
    <x v="0"/>
    <x v="0"/>
    <x v="3"/>
    <x v="1"/>
    <x v="8"/>
    <x v="2"/>
  </r>
  <r>
    <s v="TX501487"/>
    <x v="12"/>
    <x v="1"/>
    <n v="99.5"/>
    <n v="199"/>
    <x v="55"/>
    <x v="53"/>
    <x v="2"/>
    <x v="2"/>
    <x v="0"/>
    <x v="0"/>
    <x v="3"/>
    <x v="1"/>
    <x v="8"/>
    <x v="2"/>
  </r>
  <r>
    <s v="TX501488"/>
    <x v="12"/>
    <x v="12"/>
    <n v="47.4"/>
    <n v="189.6"/>
    <x v="55"/>
    <x v="58"/>
    <x v="2"/>
    <x v="1"/>
    <x v="0"/>
    <x v="0"/>
    <x v="3"/>
    <x v="2"/>
    <x v="8"/>
    <x v="2"/>
  </r>
  <r>
    <s v="TX501489"/>
    <x v="0"/>
    <x v="5"/>
    <n v="37.5"/>
    <n v="412.5"/>
    <x v="55"/>
    <x v="53"/>
    <x v="2"/>
    <x v="0"/>
    <x v="3"/>
    <x v="0"/>
    <x v="3"/>
    <x v="1"/>
    <x v="8"/>
    <x v="2"/>
  </r>
  <r>
    <s v="TX501490"/>
    <x v="10"/>
    <x v="0"/>
    <n v="45.1"/>
    <n v="45.1"/>
    <x v="55"/>
    <x v="57"/>
    <x v="1"/>
    <x v="3"/>
    <x v="2"/>
    <x v="0"/>
    <x v="24"/>
    <x v="0"/>
    <x v="8"/>
    <x v="1"/>
  </r>
  <r>
    <s v="TX501491"/>
    <x v="5"/>
    <x v="7"/>
    <n v="34.4"/>
    <n v="344"/>
    <x v="55"/>
    <x v="58"/>
    <x v="1"/>
    <x v="2"/>
    <x v="0"/>
    <x v="0"/>
    <x v="16"/>
    <x v="2"/>
    <x v="8"/>
    <x v="1"/>
  </r>
  <r>
    <s v="TX501492"/>
    <x v="4"/>
    <x v="1"/>
    <n v="38"/>
    <n v="76"/>
    <x v="55"/>
    <x v="53"/>
    <x v="2"/>
    <x v="1"/>
    <x v="0"/>
    <x v="0"/>
    <x v="5"/>
    <x v="1"/>
    <x v="8"/>
    <x v="2"/>
  </r>
  <r>
    <s v="TX501493"/>
    <x v="3"/>
    <x v="21"/>
    <n v="32.4"/>
    <n v="453.59999999999997"/>
    <x v="55"/>
    <x v="58"/>
    <x v="1"/>
    <x v="4"/>
    <x v="0"/>
    <x v="0"/>
    <x v="6"/>
    <x v="2"/>
    <x v="8"/>
    <x v="1"/>
  </r>
  <r>
    <s v="TX501494"/>
    <x v="6"/>
    <x v="2"/>
    <n v="40.9"/>
    <n v="122.69999999999999"/>
    <x v="55"/>
    <x v="51"/>
    <x v="0"/>
    <x v="1"/>
    <x v="0"/>
    <x v="0"/>
    <x v="8"/>
    <x v="7"/>
    <x v="8"/>
    <x v="0"/>
  </r>
  <r>
    <s v="TX501495"/>
    <x v="7"/>
    <x v="3"/>
    <n v="76.2"/>
    <n v="533.4"/>
    <x v="55"/>
    <x v="53"/>
    <x v="2"/>
    <x v="2"/>
    <x v="1"/>
    <x v="0"/>
    <x v="8"/>
    <x v="1"/>
    <x v="8"/>
    <x v="2"/>
  </r>
  <r>
    <s v="TX501496"/>
    <x v="2"/>
    <x v="0"/>
    <n v="85.6"/>
    <n v="85.6"/>
    <x v="55"/>
    <x v="53"/>
    <x v="1"/>
    <x v="2"/>
    <x v="0"/>
    <x v="0"/>
    <x v="8"/>
    <x v="1"/>
    <x v="8"/>
    <x v="1"/>
  </r>
  <r>
    <s v="TX501497"/>
    <x v="4"/>
    <x v="12"/>
    <n v="25"/>
    <n v="100"/>
    <x v="55"/>
    <x v="53"/>
    <x v="2"/>
    <x v="2"/>
    <x v="2"/>
    <x v="0"/>
    <x v="8"/>
    <x v="1"/>
    <x v="8"/>
    <x v="2"/>
  </r>
  <r>
    <s v="TX501498"/>
    <x v="2"/>
    <x v="9"/>
    <n v="150.69999999999999"/>
    <n v="753.5"/>
    <x v="55"/>
    <x v="52"/>
    <x v="0"/>
    <x v="0"/>
    <x v="2"/>
    <x v="0"/>
    <x v="8"/>
    <x v="3"/>
    <x v="8"/>
    <x v="0"/>
  </r>
  <r>
    <s v="TX501499"/>
    <x v="8"/>
    <x v="0"/>
    <n v="19.600000000000001"/>
    <n v="19.600000000000001"/>
    <x v="55"/>
    <x v="52"/>
    <x v="1"/>
    <x v="1"/>
    <x v="4"/>
    <x v="0"/>
    <x v="8"/>
    <x v="3"/>
    <x v="8"/>
    <x v="1"/>
  </r>
  <r>
    <s v="TX501500"/>
    <x v="13"/>
    <x v="1"/>
    <n v="37.5"/>
    <n v="75"/>
    <x v="55"/>
    <x v="58"/>
    <x v="2"/>
    <x v="1"/>
    <x v="2"/>
    <x v="0"/>
    <x v="17"/>
    <x v="2"/>
    <x v="8"/>
    <x v="2"/>
  </r>
  <r>
    <s v="TX501501"/>
    <x v="9"/>
    <x v="2"/>
    <n v="51.9"/>
    <n v="155.69999999999999"/>
    <x v="55"/>
    <x v="62"/>
    <x v="2"/>
    <x v="0"/>
    <x v="4"/>
    <x v="0"/>
    <x v="11"/>
    <x v="4"/>
    <x v="8"/>
    <x v="2"/>
  </r>
  <r>
    <s v="TX501502"/>
    <x v="1"/>
    <x v="1"/>
    <n v="30.9"/>
    <n v="61.8"/>
    <x v="55"/>
    <x v="53"/>
    <x v="2"/>
    <x v="1"/>
    <x v="0"/>
    <x v="0"/>
    <x v="18"/>
    <x v="1"/>
    <x v="8"/>
    <x v="2"/>
  </r>
  <r>
    <s v="TX501503"/>
    <x v="4"/>
    <x v="2"/>
    <n v="21.2"/>
    <n v="63.599999999999994"/>
    <x v="55"/>
    <x v="58"/>
    <x v="2"/>
    <x v="1"/>
    <x v="0"/>
    <x v="0"/>
    <x v="19"/>
    <x v="2"/>
    <x v="8"/>
    <x v="2"/>
  </r>
  <r>
    <s v="TX501504"/>
    <x v="13"/>
    <x v="14"/>
    <n v="17.5"/>
    <n v="297.5"/>
    <x v="55"/>
    <x v="52"/>
    <x v="1"/>
    <x v="1"/>
    <x v="1"/>
    <x v="0"/>
    <x v="13"/>
    <x v="3"/>
    <x v="8"/>
    <x v="1"/>
  </r>
  <r>
    <s v="TX501505"/>
    <x v="12"/>
    <x v="1"/>
    <n v="53.8"/>
    <n v="107.6"/>
    <x v="55"/>
    <x v="57"/>
    <x v="2"/>
    <x v="0"/>
    <x v="2"/>
    <x v="0"/>
    <x v="21"/>
    <x v="0"/>
    <x v="8"/>
    <x v="2"/>
  </r>
  <r>
    <s v="TX501506"/>
    <x v="19"/>
    <x v="1"/>
    <n v="17"/>
    <n v="34"/>
    <x v="55"/>
    <x v="52"/>
    <x v="1"/>
    <x v="3"/>
    <x v="0"/>
    <x v="0"/>
    <x v="21"/>
    <x v="3"/>
    <x v="8"/>
    <x v="1"/>
  </r>
  <r>
    <s v="TX501507"/>
    <x v="6"/>
    <x v="0"/>
    <n v="103.2"/>
    <n v="103.2"/>
    <x v="55"/>
    <x v="63"/>
    <x v="1"/>
    <x v="2"/>
    <x v="1"/>
    <x v="0"/>
    <x v="1"/>
    <x v="9"/>
    <x v="8"/>
    <x v="1"/>
  </r>
  <r>
    <s v="TX501508"/>
    <x v="6"/>
    <x v="12"/>
    <n v="70.3"/>
    <n v="281.2"/>
    <x v="55"/>
    <x v="52"/>
    <x v="1"/>
    <x v="0"/>
    <x v="0"/>
    <x v="0"/>
    <x v="3"/>
    <x v="3"/>
    <x v="8"/>
    <x v="1"/>
  </r>
  <r>
    <s v="TX501509"/>
    <x v="2"/>
    <x v="1"/>
    <n v="73.8"/>
    <n v="147.6"/>
    <x v="55"/>
    <x v="51"/>
    <x v="1"/>
    <x v="3"/>
    <x v="2"/>
    <x v="0"/>
    <x v="3"/>
    <x v="7"/>
    <x v="8"/>
    <x v="1"/>
  </r>
  <r>
    <s v="TX501510"/>
    <x v="1"/>
    <x v="4"/>
    <n v="67.7"/>
    <n v="812.40000000000009"/>
    <x v="55"/>
    <x v="59"/>
    <x v="1"/>
    <x v="1"/>
    <x v="1"/>
    <x v="0"/>
    <x v="3"/>
    <x v="5"/>
    <x v="8"/>
    <x v="1"/>
  </r>
  <r>
    <s v="TX501511"/>
    <x v="13"/>
    <x v="3"/>
    <n v="43.8"/>
    <n v="306.59999999999997"/>
    <x v="55"/>
    <x v="53"/>
    <x v="1"/>
    <x v="1"/>
    <x v="0"/>
    <x v="0"/>
    <x v="3"/>
    <x v="1"/>
    <x v="8"/>
    <x v="1"/>
  </r>
  <r>
    <s v="TX501512"/>
    <x v="17"/>
    <x v="13"/>
    <n v="71.900000000000006"/>
    <n v="431.40000000000003"/>
    <x v="55"/>
    <x v="52"/>
    <x v="2"/>
    <x v="2"/>
    <x v="0"/>
    <x v="0"/>
    <x v="3"/>
    <x v="3"/>
    <x v="8"/>
    <x v="2"/>
  </r>
  <r>
    <s v="TX501513"/>
    <x v="8"/>
    <x v="1"/>
    <n v="26.3"/>
    <n v="52.6"/>
    <x v="56"/>
    <x v="58"/>
    <x v="2"/>
    <x v="0"/>
    <x v="1"/>
    <x v="0"/>
    <x v="3"/>
    <x v="1"/>
    <x v="8"/>
    <x v="2"/>
  </r>
  <r>
    <s v="TX501514"/>
    <x v="6"/>
    <x v="12"/>
    <n v="52.6"/>
    <n v="210.4"/>
    <x v="56"/>
    <x v="58"/>
    <x v="2"/>
    <x v="2"/>
    <x v="1"/>
    <x v="0"/>
    <x v="3"/>
    <x v="1"/>
    <x v="8"/>
    <x v="2"/>
  </r>
  <r>
    <s v="TX501515"/>
    <x v="10"/>
    <x v="0"/>
    <n v="32.700000000000003"/>
    <n v="32.700000000000003"/>
    <x v="56"/>
    <x v="63"/>
    <x v="2"/>
    <x v="0"/>
    <x v="2"/>
    <x v="0"/>
    <x v="3"/>
    <x v="6"/>
    <x v="8"/>
    <x v="2"/>
  </r>
  <r>
    <s v="TX501516"/>
    <x v="5"/>
    <x v="12"/>
    <n v="38.9"/>
    <n v="155.6"/>
    <x v="56"/>
    <x v="53"/>
    <x v="2"/>
    <x v="0"/>
    <x v="0"/>
    <x v="0"/>
    <x v="3"/>
    <x v="3"/>
    <x v="8"/>
    <x v="2"/>
  </r>
  <r>
    <s v="TX501517"/>
    <x v="9"/>
    <x v="9"/>
    <n v="35"/>
    <n v="175"/>
    <x v="56"/>
    <x v="58"/>
    <x v="1"/>
    <x v="0"/>
    <x v="0"/>
    <x v="0"/>
    <x v="3"/>
    <x v="1"/>
    <x v="8"/>
    <x v="1"/>
  </r>
  <r>
    <s v="TX501518"/>
    <x v="2"/>
    <x v="1"/>
    <n v="121"/>
    <n v="242"/>
    <x v="56"/>
    <x v="53"/>
    <x v="2"/>
    <x v="1"/>
    <x v="1"/>
    <x v="0"/>
    <x v="3"/>
    <x v="3"/>
    <x v="8"/>
    <x v="2"/>
  </r>
  <r>
    <s v="TX501519"/>
    <x v="6"/>
    <x v="2"/>
    <n v="65.099999999999994"/>
    <n v="195.29999999999998"/>
    <x v="56"/>
    <x v="57"/>
    <x v="1"/>
    <x v="2"/>
    <x v="0"/>
    <x v="0"/>
    <x v="36"/>
    <x v="5"/>
    <x v="8"/>
    <x v="1"/>
  </r>
  <r>
    <s v="TX501520"/>
    <x v="1"/>
    <x v="38"/>
    <n v="63.8"/>
    <n v="1339.8"/>
    <x v="56"/>
    <x v="58"/>
    <x v="2"/>
    <x v="0"/>
    <x v="0"/>
    <x v="0"/>
    <x v="8"/>
    <x v="1"/>
    <x v="8"/>
    <x v="2"/>
  </r>
  <r>
    <s v="TX501521"/>
    <x v="7"/>
    <x v="0"/>
    <n v="77.7"/>
    <n v="77.7"/>
    <x v="56"/>
    <x v="58"/>
    <x v="1"/>
    <x v="0"/>
    <x v="0"/>
    <x v="0"/>
    <x v="8"/>
    <x v="1"/>
    <x v="8"/>
    <x v="1"/>
  </r>
  <r>
    <s v="TX501522"/>
    <x v="5"/>
    <x v="12"/>
    <n v="60.3"/>
    <n v="241.2"/>
    <x v="56"/>
    <x v="52"/>
    <x v="1"/>
    <x v="0"/>
    <x v="2"/>
    <x v="0"/>
    <x v="8"/>
    <x v="7"/>
    <x v="8"/>
    <x v="1"/>
  </r>
  <r>
    <s v="TX501523"/>
    <x v="5"/>
    <x v="1"/>
    <n v="124.1"/>
    <n v="248.2"/>
    <x v="56"/>
    <x v="59"/>
    <x v="2"/>
    <x v="0"/>
    <x v="2"/>
    <x v="0"/>
    <x v="8"/>
    <x v="2"/>
    <x v="8"/>
    <x v="2"/>
  </r>
  <r>
    <s v="TX501524"/>
    <x v="16"/>
    <x v="3"/>
    <n v="66"/>
    <n v="462"/>
    <x v="56"/>
    <x v="52"/>
    <x v="0"/>
    <x v="3"/>
    <x v="0"/>
    <x v="0"/>
    <x v="17"/>
    <x v="7"/>
    <x v="8"/>
    <x v="0"/>
  </r>
  <r>
    <s v="TX501525"/>
    <x v="2"/>
    <x v="42"/>
    <n v="118.2"/>
    <n v="7446.6"/>
    <x v="56"/>
    <x v="62"/>
    <x v="0"/>
    <x v="0"/>
    <x v="0"/>
    <x v="0"/>
    <x v="17"/>
    <x v="0"/>
    <x v="8"/>
    <x v="0"/>
  </r>
  <r>
    <s v="TX501526"/>
    <x v="5"/>
    <x v="9"/>
    <n v="64.3"/>
    <n v="321.5"/>
    <x v="56"/>
    <x v="53"/>
    <x v="1"/>
    <x v="4"/>
    <x v="4"/>
    <x v="0"/>
    <x v="26"/>
    <x v="3"/>
    <x v="8"/>
    <x v="1"/>
  </r>
  <r>
    <s v="TX501527"/>
    <x v="1"/>
    <x v="1"/>
    <n v="54.8"/>
    <n v="109.6"/>
    <x v="56"/>
    <x v="52"/>
    <x v="1"/>
    <x v="0"/>
    <x v="1"/>
    <x v="0"/>
    <x v="26"/>
    <x v="7"/>
    <x v="8"/>
    <x v="1"/>
  </r>
  <r>
    <s v="TX501528"/>
    <x v="7"/>
    <x v="1"/>
    <n v="78.599999999999994"/>
    <n v="157.19999999999999"/>
    <x v="56"/>
    <x v="53"/>
    <x v="1"/>
    <x v="0"/>
    <x v="2"/>
    <x v="0"/>
    <x v="9"/>
    <x v="3"/>
    <x v="8"/>
    <x v="1"/>
  </r>
  <r>
    <s v="TX501529"/>
    <x v="2"/>
    <x v="9"/>
    <n v="158.5"/>
    <n v="792.5"/>
    <x v="56"/>
    <x v="58"/>
    <x v="0"/>
    <x v="2"/>
    <x v="2"/>
    <x v="0"/>
    <x v="9"/>
    <x v="1"/>
    <x v="8"/>
    <x v="0"/>
  </r>
  <r>
    <s v="TX501530"/>
    <x v="4"/>
    <x v="7"/>
    <n v="23.5"/>
    <n v="235"/>
    <x v="56"/>
    <x v="59"/>
    <x v="1"/>
    <x v="0"/>
    <x v="4"/>
    <x v="0"/>
    <x v="10"/>
    <x v="2"/>
    <x v="8"/>
    <x v="1"/>
  </r>
  <r>
    <s v="TX501531"/>
    <x v="5"/>
    <x v="1"/>
    <n v="32.1"/>
    <n v="64.2"/>
    <x v="56"/>
    <x v="58"/>
    <x v="0"/>
    <x v="3"/>
    <x v="0"/>
    <x v="0"/>
    <x v="10"/>
    <x v="1"/>
    <x v="8"/>
    <x v="0"/>
  </r>
  <r>
    <s v="TX501532"/>
    <x v="17"/>
    <x v="12"/>
    <n v="71.900000000000006"/>
    <n v="287.60000000000002"/>
    <x v="56"/>
    <x v="52"/>
    <x v="1"/>
    <x v="2"/>
    <x v="0"/>
    <x v="0"/>
    <x v="19"/>
    <x v="7"/>
    <x v="8"/>
    <x v="1"/>
  </r>
  <r>
    <s v="TX501533"/>
    <x v="4"/>
    <x v="13"/>
    <n v="22.3"/>
    <n v="133.80000000000001"/>
    <x v="56"/>
    <x v="53"/>
    <x v="0"/>
    <x v="3"/>
    <x v="2"/>
    <x v="0"/>
    <x v="13"/>
    <x v="3"/>
    <x v="8"/>
    <x v="0"/>
  </r>
  <r>
    <s v="TX501534"/>
    <x v="11"/>
    <x v="1"/>
    <n v="29.5"/>
    <n v="59"/>
    <x v="56"/>
    <x v="53"/>
    <x v="2"/>
    <x v="0"/>
    <x v="2"/>
    <x v="0"/>
    <x v="13"/>
    <x v="3"/>
    <x v="8"/>
    <x v="2"/>
  </r>
  <r>
    <s v="TX501535"/>
    <x v="6"/>
    <x v="12"/>
    <n v="41.9"/>
    <n v="167.6"/>
    <x v="56"/>
    <x v="57"/>
    <x v="2"/>
    <x v="0"/>
    <x v="1"/>
    <x v="0"/>
    <x v="21"/>
    <x v="5"/>
    <x v="8"/>
    <x v="2"/>
  </r>
  <r>
    <s v="TX501536"/>
    <x v="6"/>
    <x v="2"/>
    <n v="107.8"/>
    <n v="323.39999999999998"/>
    <x v="56"/>
    <x v="53"/>
    <x v="1"/>
    <x v="1"/>
    <x v="2"/>
    <x v="0"/>
    <x v="46"/>
    <x v="3"/>
    <x v="8"/>
    <x v="1"/>
  </r>
  <r>
    <s v="TX501537"/>
    <x v="4"/>
    <x v="9"/>
    <n v="18.100000000000001"/>
    <n v="90.5"/>
    <x v="56"/>
    <x v="59"/>
    <x v="1"/>
    <x v="0"/>
    <x v="2"/>
    <x v="0"/>
    <x v="2"/>
    <x v="2"/>
    <x v="8"/>
    <x v="1"/>
  </r>
  <r>
    <s v="TX501538"/>
    <x v="12"/>
    <x v="11"/>
    <n v="79.8"/>
    <n v="718.19999999999993"/>
    <x v="56"/>
    <x v="53"/>
    <x v="2"/>
    <x v="1"/>
    <x v="1"/>
    <x v="0"/>
    <x v="22"/>
    <x v="3"/>
    <x v="8"/>
    <x v="2"/>
  </r>
  <r>
    <s v="TX501539"/>
    <x v="0"/>
    <x v="2"/>
    <n v="22.3"/>
    <n v="66.900000000000006"/>
    <x v="56"/>
    <x v="59"/>
    <x v="2"/>
    <x v="0"/>
    <x v="2"/>
    <x v="0"/>
    <x v="22"/>
    <x v="2"/>
    <x v="8"/>
    <x v="2"/>
  </r>
  <r>
    <s v="TX501540"/>
    <x v="8"/>
    <x v="0"/>
    <n v="22.9"/>
    <n v="22.9"/>
    <x v="56"/>
    <x v="52"/>
    <x v="2"/>
    <x v="1"/>
    <x v="0"/>
    <x v="0"/>
    <x v="22"/>
    <x v="7"/>
    <x v="8"/>
    <x v="2"/>
  </r>
  <r>
    <s v="TX501541"/>
    <x v="0"/>
    <x v="2"/>
    <n v="16.2"/>
    <n v="48.599999999999994"/>
    <x v="57"/>
    <x v="53"/>
    <x v="1"/>
    <x v="4"/>
    <x v="2"/>
    <x v="0"/>
    <x v="3"/>
    <x v="7"/>
    <x v="8"/>
    <x v="1"/>
  </r>
  <r>
    <s v="TX501542"/>
    <x v="10"/>
    <x v="12"/>
    <n v="59.5"/>
    <n v="238"/>
    <x v="57"/>
    <x v="58"/>
    <x v="1"/>
    <x v="1"/>
    <x v="2"/>
    <x v="0"/>
    <x v="3"/>
    <x v="3"/>
    <x v="8"/>
    <x v="1"/>
  </r>
  <r>
    <s v="TX501543"/>
    <x v="18"/>
    <x v="9"/>
    <n v="26.2"/>
    <n v="131"/>
    <x v="57"/>
    <x v="57"/>
    <x v="1"/>
    <x v="3"/>
    <x v="4"/>
    <x v="0"/>
    <x v="3"/>
    <x v="2"/>
    <x v="8"/>
    <x v="1"/>
  </r>
  <r>
    <s v="TX501544"/>
    <x v="3"/>
    <x v="0"/>
    <n v="44.2"/>
    <n v="44.2"/>
    <x v="57"/>
    <x v="57"/>
    <x v="2"/>
    <x v="1"/>
    <x v="0"/>
    <x v="0"/>
    <x v="3"/>
    <x v="2"/>
    <x v="8"/>
    <x v="2"/>
  </r>
  <r>
    <s v="TX501545"/>
    <x v="9"/>
    <x v="1"/>
    <n v="59.2"/>
    <n v="118.4"/>
    <x v="57"/>
    <x v="53"/>
    <x v="2"/>
    <x v="1"/>
    <x v="4"/>
    <x v="0"/>
    <x v="3"/>
    <x v="7"/>
    <x v="8"/>
    <x v="2"/>
  </r>
  <r>
    <s v="TX501546"/>
    <x v="15"/>
    <x v="12"/>
    <n v="41.5"/>
    <n v="166"/>
    <x v="57"/>
    <x v="59"/>
    <x v="2"/>
    <x v="0"/>
    <x v="0"/>
    <x v="0"/>
    <x v="16"/>
    <x v="1"/>
    <x v="8"/>
    <x v="2"/>
  </r>
  <r>
    <s v="TX501547"/>
    <x v="6"/>
    <x v="4"/>
    <n v="67.099999999999994"/>
    <n v="805.19999999999993"/>
    <x v="57"/>
    <x v="64"/>
    <x v="2"/>
    <x v="0"/>
    <x v="2"/>
    <x v="0"/>
    <x v="23"/>
    <x v="12"/>
    <x v="8"/>
    <x v="2"/>
  </r>
  <r>
    <s v="TX501548"/>
    <x v="8"/>
    <x v="1"/>
    <n v="28.7"/>
    <n v="57.4"/>
    <x v="57"/>
    <x v="62"/>
    <x v="2"/>
    <x v="1"/>
    <x v="0"/>
    <x v="0"/>
    <x v="6"/>
    <x v="5"/>
    <x v="8"/>
    <x v="2"/>
  </r>
  <r>
    <s v="TX501549"/>
    <x v="2"/>
    <x v="12"/>
    <n v="132.1"/>
    <n v="528.4"/>
    <x v="57"/>
    <x v="58"/>
    <x v="2"/>
    <x v="0"/>
    <x v="1"/>
    <x v="0"/>
    <x v="6"/>
    <x v="3"/>
    <x v="8"/>
    <x v="2"/>
  </r>
  <r>
    <s v="TX501550"/>
    <x v="18"/>
    <x v="1"/>
    <n v="47"/>
    <n v="94"/>
    <x v="57"/>
    <x v="59"/>
    <x v="1"/>
    <x v="4"/>
    <x v="0"/>
    <x v="0"/>
    <x v="8"/>
    <x v="1"/>
    <x v="8"/>
    <x v="1"/>
  </r>
  <r>
    <s v="TX501551"/>
    <x v="8"/>
    <x v="1"/>
    <n v="41.6"/>
    <n v="83.2"/>
    <x v="57"/>
    <x v="62"/>
    <x v="1"/>
    <x v="1"/>
    <x v="2"/>
    <x v="0"/>
    <x v="8"/>
    <x v="5"/>
    <x v="8"/>
    <x v="1"/>
  </r>
  <r>
    <s v="TX501552"/>
    <x v="8"/>
    <x v="43"/>
    <n v="17.3"/>
    <n v="657.4"/>
    <x v="57"/>
    <x v="59"/>
    <x v="1"/>
    <x v="2"/>
    <x v="2"/>
    <x v="0"/>
    <x v="8"/>
    <x v="1"/>
    <x v="8"/>
    <x v="1"/>
  </r>
  <r>
    <s v="TX501553"/>
    <x v="13"/>
    <x v="2"/>
    <n v="41.8"/>
    <n v="125.39999999999999"/>
    <x v="57"/>
    <x v="57"/>
    <x v="1"/>
    <x v="0"/>
    <x v="2"/>
    <x v="0"/>
    <x v="8"/>
    <x v="2"/>
    <x v="8"/>
    <x v="1"/>
  </r>
  <r>
    <s v="TX501554"/>
    <x v="10"/>
    <x v="0"/>
    <n v="24"/>
    <n v="24"/>
    <x v="57"/>
    <x v="58"/>
    <x v="2"/>
    <x v="0"/>
    <x v="0"/>
    <x v="0"/>
    <x v="17"/>
    <x v="3"/>
    <x v="8"/>
    <x v="2"/>
  </r>
  <r>
    <s v="TX501555"/>
    <x v="14"/>
    <x v="11"/>
    <n v="18.5"/>
    <n v="166.5"/>
    <x v="57"/>
    <x v="59"/>
    <x v="2"/>
    <x v="0"/>
    <x v="0"/>
    <x v="0"/>
    <x v="9"/>
    <x v="1"/>
    <x v="8"/>
    <x v="2"/>
  </r>
  <r>
    <s v="TX501556"/>
    <x v="3"/>
    <x v="4"/>
    <n v="66.7"/>
    <n v="800.40000000000009"/>
    <x v="57"/>
    <x v="57"/>
    <x v="0"/>
    <x v="0"/>
    <x v="2"/>
    <x v="0"/>
    <x v="11"/>
    <x v="2"/>
    <x v="8"/>
    <x v="0"/>
  </r>
  <r>
    <s v="TX501557"/>
    <x v="1"/>
    <x v="12"/>
    <n v="33.1"/>
    <n v="132.4"/>
    <x v="57"/>
    <x v="61"/>
    <x v="1"/>
    <x v="3"/>
    <x v="0"/>
    <x v="0"/>
    <x v="11"/>
    <x v="0"/>
    <x v="8"/>
    <x v="1"/>
  </r>
  <r>
    <s v="TX501558"/>
    <x v="19"/>
    <x v="11"/>
    <n v="42.1"/>
    <n v="378.90000000000003"/>
    <x v="57"/>
    <x v="65"/>
    <x v="1"/>
    <x v="1"/>
    <x v="0"/>
    <x v="0"/>
    <x v="18"/>
    <x v="11"/>
    <x v="8"/>
    <x v="1"/>
  </r>
  <r>
    <s v="TX501559"/>
    <x v="18"/>
    <x v="3"/>
    <n v="58.7"/>
    <n v="410.90000000000003"/>
    <x v="57"/>
    <x v="53"/>
    <x v="3"/>
    <x v="3"/>
    <x v="0"/>
    <x v="0"/>
    <x v="31"/>
    <x v="7"/>
    <x v="8"/>
    <x v="3"/>
  </r>
  <r>
    <s v="TX501560"/>
    <x v="6"/>
    <x v="12"/>
    <n v="54"/>
    <n v="216"/>
    <x v="57"/>
    <x v="59"/>
    <x v="2"/>
    <x v="1"/>
    <x v="0"/>
    <x v="0"/>
    <x v="1"/>
    <x v="1"/>
    <x v="8"/>
    <x v="2"/>
  </r>
  <r>
    <s v="TX501561"/>
    <x v="8"/>
    <x v="0"/>
    <n v="52.1"/>
    <n v="52.1"/>
    <x v="57"/>
    <x v="58"/>
    <x v="2"/>
    <x v="2"/>
    <x v="2"/>
    <x v="0"/>
    <x v="2"/>
    <x v="3"/>
    <x v="8"/>
    <x v="2"/>
  </r>
  <r>
    <s v="TX501562"/>
    <x v="19"/>
    <x v="1"/>
    <n v="27"/>
    <n v="54"/>
    <x v="57"/>
    <x v="57"/>
    <x v="3"/>
    <x v="2"/>
    <x v="0"/>
    <x v="0"/>
    <x v="22"/>
    <x v="2"/>
    <x v="8"/>
    <x v="3"/>
  </r>
  <r>
    <s v="TX501563"/>
    <x v="12"/>
    <x v="7"/>
    <n v="31"/>
    <n v="310"/>
    <x v="58"/>
    <x v="59"/>
    <x v="2"/>
    <x v="3"/>
    <x v="2"/>
    <x v="0"/>
    <x v="22"/>
    <x v="3"/>
    <x v="8"/>
    <x v="2"/>
  </r>
  <r>
    <s v="TX501564"/>
    <x v="10"/>
    <x v="1"/>
    <n v="46.7"/>
    <n v="93.4"/>
    <x v="58"/>
    <x v="58"/>
    <x v="2"/>
    <x v="0"/>
    <x v="0"/>
    <x v="0"/>
    <x v="34"/>
    <x v="7"/>
    <x v="8"/>
    <x v="2"/>
  </r>
  <r>
    <s v="TX501565"/>
    <x v="6"/>
    <x v="0"/>
    <n v="144.69999999999999"/>
    <n v="144.69999999999999"/>
    <x v="58"/>
    <x v="62"/>
    <x v="1"/>
    <x v="0"/>
    <x v="2"/>
    <x v="0"/>
    <x v="3"/>
    <x v="2"/>
    <x v="8"/>
    <x v="1"/>
  </r>
  <r>
    <s v="TX501566"/>
    <x v="2"/>
    <x v="11"/>
    <n v="90.9"/>
    <n v="818.1"/>
    <x v="58"/>
    <x v="59"/>
    <x v="1"/>
    <x v="0"/>
    <x v="2"/>
    <x v="0"/>
    <x v="3"/>
    <x v="3"/>
    <x v="8"/>
    <x v="1"/>
  </r>
  <r>
    <s v="TX501567"/>
    <x v="1"/>
    <x v="1"/>
    <n v="75.8"/>
    <n v="151.6"/>
    <x v="58"/>
    <x v="59"/>
    <x v="2"/>
    <x v="2"/>
    <x v="1"/>
    <x v="0"/>
    <x v="3"/>
    <x v="3"/>
    <x v="8"/>
    <x v="2"/>
  </r>
  <r>
    <s v="TX501568"/>
    <x v="7"/>
    <x v="9"/>
    <n v="57.9"/>
    <n v="289.5"/>
    <x v="58"/>
    <x v="57"/>
    <x v="1"/>
    <x v="2"/>
    <x v="2"/>
    <x v="0"/>
    <x v="3"/>
    <x v="1"/>
    <x v="8"/>
    <x v="1"/>
  </r>
  <r>
    <s v="TX501569"/>
    <x v="8"/>
    <x v="9"/>
    <n v="44.8"/>
    <n v="224"/>
    <x v="58"/>
    <x v="59"/>
    <x v="2"/>
    <x v="3"/>
    <x v="2"/>
    <x v="0"/>
    <x v="3"/>
    <x v="3"/>
    <x v="8"/>
    <x v="2"/>
  </r>
  <r>
    <s v="TX501570"/>
    <x v="9"/>
    <x v="2"/>
    <n v="44.2"/>
    <n v="132.60000000000002"/>
    <x v="58"/>
    <x v="61"/>
    <x v="1"/>
    <x v="2"/>
    <x v="2"/>
    <x v="0"/>
    <x v="3"/>
    <x v="5"/>
    <x v="8"/>
    <x v="1"/>
  </r>
  <r>
    <s v="TX501571"/>
    <x v="5"/>
    <x v="9"/>
    <n v="53.5"/>
    <n v="267.5"/>
    <x v="58"/>
    <x v="57"/>
    <x v="1"/>
    <x v="0"/>
    <x v="0"/>
    <x v="0"/>
    <x v="37"/>
    <x v="1"/>
    <x v="8"/>
    <x v="1"/>
  </r>
  <r>
    <s v="TX501572"/>
    <x v="6"/>
    <x v="1"/>
    <n v="72.2"/>
    <n v="144.4"/>
    <x v="58"/>
    <x v="59"/>
    <x v="1"/>
    <x v="0"/>
    <x v="2"/>
    <x v="0"/>
    <x v="25"/>
    <x v="3"/>
    <x v="8"/>
    <x v="1"/>
  </r>
  <r>
    <s v="TX501573"/>
    <x v="6"/>
    <x v="12"/>
    <n v="62.4"/>
    <n v="249.6"/>
    <x v="58"/>
    <x v="62"/>
    <x v="2"/>
    <x v="0"/>
    <x v="1"/>
    <x v="0"/>
    <x v="23"/>
    <x v="2"/>
    <x v="8"/>
    <x v="2"/>
  </r>
  <r>
    <s v="TX501574"/>
    <x v="10"/>
    <x v="9"/>
    <n v="24.7"/>
    <n v="123.5"/>
    <x v="58"/>
    <x v="59"/>
    <x v="2"/>
    <x v="0"/>
    <x v="0"/>
    <x v="0"/>
    <x v="6"/>
    <x v="3"/>
    <x v="8"/>
    <x v="2"/>
  </r>
  <r>
    <s v="TX501575"/>
    <x v="1"/>
    <x v="9"/>
    <n v="61.7"/>
    <n v="308.5"/>
    <x v="58"/>
    <x v="57"/>
    <x v="2"/>
    <x v="2"/>
    <x v="0"/>
    <x v="0"/>
    <x v="8"/>
    <x v="1"/>
    <x v="8"/>
    <x v="2"/>
  </r>
  <r>
    <s v="TX501576"/>
    <x v="8"/>
    <x v="9"/>
    <n v="18.2"/>
    <n v="91"/>
    <x v="58"/>
    <x v="57"/>
    <x v="2"/>
    <x v="3"/>
    <x v="0"/>
    <x v="0"/>
    <x v="8"/>
    <x v="1"/>
    <x v="8"/>
    <x v="2"/>
  </r>
  <r>
    <s v="TX501577"/>
    <x v="10"/>
    <x v="12"/>
    <n v="37.200000000000003"/>
    <n v="148.80000000000001"/>
    <x v="58"/>
    <x v="66"/>
    <x v="2"/>
    <x v="0"/>
    <x v="0"/>
    <x v="0"/>
    <x v="8"/>
    <x v="4"/>
    <x v="8"/>
    <x v="2"/>
  </r>
  <r>
    <s v="TX501578"/>
    <x v="9"/>
    <x v="2"/>
    <n v="53.5"/>
    <n v="160.5"/>
    <x v="58"/>
    <x v="57"/>
    <x v="2"/>
    <x v="1"/>
    <x v="2"/>
    <x v="0"/>
    <x v="9"/>
    <x v="1"/>
    <x v="8"/>
    <x v="2"/>
  </r>
  <r>
    <s v="TX501579"/>
    <x v="8"/>
    <x v="2"/>
    <n v="43.6"/>
    <n v="130.80000000000001"/>
    <x v="58"/>
    <x v="58"/>
    <x v="2"/>
    <x v="0"/>
    <x v="0"/>
    <x v="0"/>
    <x v="9"/>
    <x v="7"/>
    <x v="8"/>
    <x v="2"/>
  </r>
  <r>
    <s v="TX501580"/>
    <x v="1"/>
    <x v="7"/>
    <n v="135"/>
    <n v="1350"/>
    <x v="58"/>
    <x v="57"/>
    <x v="2"/>
    <x v="0"/>
    <x v="2"/>
    <x v="0"/>
    <x v="9"/>
    <x v="1"/>
    <x v="8"/>
    <x v="2"/>
  </r>
  <r>
    <s v="TX501581"/>
    <x v="8"/>
    <x v="9"/>
    <n v="38.5"/>
    <n v="192.5"/>
    <x v="58"/>
    <x v="58"/>
    <x v="1"/>
    <x v="4"/>
    <x v="2"/>
    <x v="0"/>
    <x v="10"/>
    <x v="7"/>
    <x v="8"/>
    <x v="1"/>
  </r>
  <r>
    <s v="TX501582"/>
    <x v="9"/>
    <x v="1"/>
    <n v="24"/>
    <n v="48"/>
    <x v="58"/>
    <x v="63"/>
    <x v="2"/>
    <x v="0"/>
    <x v="0"/>
    <x v="0"/>
    <x v="11"/>
    <x v="0"/>
    <x v="8"/>
    <x v="2"/>
  </r>
  <r>
    <s v="TX501583"/>
    <x v="4"/>
    <x v="2"/>
    <n v="28.2"/>
    <n v="84.6"/>
    <x v="58"/>
    <x v="57"/>
    <x v="1"/>
    <x v="0"/>
    <x v="3"/>
    <x v="0"/>
    <x v="18"/>
    <x v="1"/>
    <x v="8"/>
    <x v="1"/>
  </r>
  <r>
    <s v="TX501584"/>
    <x v="7"/>
    <x v="2"/>
    <n v="37.4"/>
    <n v="112.19999999999999"/>
    <x v="58"/>
    <x v="59"/>
    <x v="2"/>
    <x v="3"/>
    <x v="0"/>
    <x v="0"/>
    <x v="1"/>
    <x v="3"/>
    <x v="8"/>
    <x v="2"/>
  </r>
  <r>
    <s v="TX501585"/>
    <x v="6"/>
    <x v="2"/>
    <n v="53.5"/>
    <n v="160.5"/>
    <x v="58"/>
    <x v="62"/>
    <x v="0"/>
    <x v="4"/>
    <x v="4"/>
    <x v="0"/>
    <x v="1"/>
    <x v="2"/>
    <x v="8"/>
    <x v="0"/>
  </r>
  <r>
    <s v="TX501586"/>
    <x v="11"/>
    <x v="9"/>
    <n v="36.200000000000003"/>
    <n v="181"/>
    <x v="58"/>
    <x v="59"/>
    <x v="1"/>
    <x v="1"/>
    <x v="2"/>
    <x v="0"/>
    <x v="33"/>
    <x v="3"/>
    <x v="8"/>
    <x v="1"/>
  </r>
  <r>
    <s v="TX501587"/>
    <x v="0"/>
    <x v="8"/>
    <n v="31.9"/>
    <n v="255.2"/>
    <x v="58"/>
    <x v="59"/>
    <x v="2"/>
    <x v="4"/>
    <x v="0"/>
    <x v="0"/>
    <x v="3"/>
    <x v="3"/>
    <x v="8"/>
    <x v="2"/>
  </r>
  <r>
    <s v="TX501588"/>
    <x v="8"/>
    <x v="2"/>
    <n v="21.3"/>
    <n v="63.900000000000006"/>
    <x v="58"/>
    <x v="59"/>
    <x v="1"/>
    <x v="0"/>
    <x v="2"/>
    <x v="0"/>
    <x v="3"/>
    <x v="3"/>
    <x v="8"/>
    <x v="1"/>
  </r>
  <r>
    <s v="TX501589"/>
    <x v="8"/>
    <x v="0"/>
    <n v="36.299999999999997"/>
    <n v="36.299999999999997"/>
    <x v="58"/>
    <x v="57"/>
    <x v="3"/>
    <x v="4"/>
    <x v="0"/>
    <x v="0"/>
    <x v="3"/>
    <x v="1"/>
    <x v="8"/>
    <x v="3"/>
  </r>
  <r>
    <s v="TX501590"/>
    <x v="6"/>
    <x v="2"/>
    <n v="110.5"/>
    <n v="331.5"/>
    <x v="58"/>
    <x v="59"/>
    <x v="2"/>
    <x v="0"/>
    <x v="3"/>
    <x v="0"/>
    <x v="3"/>
    <x v="3"/>
    <x v="8"/>
    <x v="2"/>
  </r>
  <r>
    <s v="TX501591"/>
    <x v="10"/>
    <x v="3"/>
    <n v="32.6"/>
    <n v="228.20000000000002"/>
    <x v="58"/>
    <x v="57"/>
    <x v="2"/>
    <x v="0"/>
    <x v="1"/>
    <x v="0"/>
    <x v="3"/>
    <x v="1"/>
    <x v="8"/>
    <x v="2"/>
  </r>
  <r>
    <s v="TX501592"/>
    <x v="5"/>
    <x v="2"/>
    <n v="55.6"/>
    <n v="166.8"/>
    <x v="59"/>
    <x v="67"/>
    <x v="2"/>
    <x v="0"/>
    <x v="0"/>
    <x v="0"/>
    <x v="3"/>
    <x v="10"/>
    <x v="8"/>
    <x v="2"/>
  </r>
  <r>
    <s v="TX501593"/>
    <x v="1"/>
    <x v="12"/>
    <n v="38"/>
    <n v="152"/>
    <x v="59"/>
    <x v="57"/>
    <x v="2"/>
    <x v="3"/>
    <x v="2"/>
    <x v="0"/>
    <x v="5"/>
    <x v="3"/>
    <x v="8"/>
    <x v="2"/>
  </r>
  <r>
    <s v="TX501594"/>
    <x v="10"/>
    <x v="1"/>
    <n v="51.8"/>
    <n v="103.6"/>
    <x v="59"/>
    <x v="68"/>
    <x v="1"/>
    <x v="1"/>
    <x v="4"/>
    <x v="0"/>
    <x v="6"/>
    <x v="4"/>
    <x v="8"/>
    <x v="1"/>
  </r>
  <r>
    <s v="TX501595"/>
    <x v="11"/>
    <x v="8"/>
    <n v="28.7"/>
    <n v="229.6"/>
    <x v="59"/>
    <x v="66"/>
    <x v="2"/>
    <x v="0"/>
    <x v="0"/>
    <x v="0"/>
    <x v="6"/>
    <x v="0"/>
    <x v="8"/>
    <x v="2"/>
  </r>
  <r>
    <s v="TX501596"/>
    <x v="6"/>
    <x v="4"/>
    <n v="52.2"/>
    <n v="626.40000000000009"/>
    <x v="59"/>
    <x v="59"/>
    <x v="1"/>
    <x v="0"/>
    <x v="1"/>
    <x v="0"/>
    <x v="6"/>
    <x v="7"/>
    <x v="8"/>
    <x v="1"/>
  </r>
  <r>
    <s v="TX501597"/>
    <x v="1"/>
    <x v="1"/>
    <n v="68.2"/>
    <n v="136.4"/>
    <x v="59"/>
    <x v="57"/>
    <x v="0"/>
    <x v="2"/>
    <x v="0"/>
    <x v="0"/>
    <x v="7"/>
    <x v="3"/>
    <x v="8"/>
    <x v="0"/>
  </r>
  <r>
    <s v="TX501598"/>
    <x v="0"/>
    <x v="2"/>
    <n v="34"/>
    <n v="102"/>
    <x v="59"/>
    <x v="63"/>
    <x v="2"/>
    <x v="0"/>
    <x v="0"/>
    <x v="0"/>
    <x v="8"/>
    <x v="5"/>
    <x v="8"/>
    <x v="2"/>
  </r>
  <r>
    <s v="TX501599"/>
    <x v="8"/>
    <x v="2"/>
    <n v="19.100000000000001"/>
    <n v="57.300000000000004"/>
    <x v="59"/>
    <x v="57"/>
    <x v="2"/>
    <x v="4"/>
    <x v="0"/>
    <x v="0"/>
    <x v="8"/>
    <x v="3"/>
    <x v="8"/>
    <x v="2"/>
  </r>
  <r>
    <s v="TX501600"/>
    <x v="5"/>
    <x v="8"/>
    <n v="34"/>
    <n v="272"/>
    <x v="59"/>
    <x v="60"/>
    <x v="2"/>
    <x v="4"/>
    <x v="0"/>
    <x v="0"/>
    <x v="8"/>
    <x v="9"/>
    <x v="8"/>
    <x v="2"/>
  </r>
  <r>
    <s v="TX501601"/>
    <x v="12"/>
    <x v="1"/>
    <n v="109.1"/>
    <n v="218.2"/>
    <x v="59"/>
    <x v="62"/>
    <x v="1"/>
    <x v="0"/>
    <x v="2"/>
    <x v="0"/>
    <x v="8"/>
    <x v="1"/>
    <x v="8"/>
    <x v="1"/>
  </r>
  <r>
    <s v="TX501602"/>
    <x v="18"/>
    <x v="1"/>
    <n v="64.8"/>
    <n v="129.6"/>
    <x v="59"/>
    <x v="62"/>
    <x v="1"/>
    <x v="0"/>
    <x v="2"/>
    <x v="0"/>
    <x v="8"/>
    <x v="1"/>
    <x v="8"/>
    <x v="1"/>
  </r>
  <r>
    <s v="TX501603"/>
    <x v="10"/>
    <x v="1"/>
    <n v="21.1"/>
    <n v="42.2"/>
    <x v="59"/>
    <x v="59"/>
    <x v="2"/>
    <x v="1"/>
    <x v="0"/>
    <x v="0"/>
    <x v="11"/>
    <x v="7"/>
    <x v="8"/>
    <x v="2"/>
  </r>
  <r>
    <s v="TX501604"/>
    <x v="0"/>
    <x v="8"/>
    <n v="21.3"/>
    <n v="170.4"/>
    <x v="59"/>
    <x v="62"/>
    <x v="1"/>
    <x v="3"/>
    <x v="1"/>
    <x v="0"/>
    <x v="18"/>
    <x v="1"/>
    <x v="8"/>
    <x v="1"/>
  </r>
  <r>
    <s v="TX501605"/>
    <x v="9"/>
    <x v="2"/>
    <n v="24.3"/>
    <n v="72.900000000000006"/>
    <x v="59"/>
    <x v="57"/>
    <x v="1"/>
    <x v="1"/>
    <x v="0"/>
    <x v="0"/>
    <x v="19"/>
    <x v="3"/>
    <x v="8"/>
    <x v="1"/>
  </r>
  <r>
    <s v="TX501606"/>
    <x v="8"/>
    <x v="0"/>
    <n v="43.3"/>
    <n v="43.3"/>
    <x v="59"/>
    <x v="63"/>
    <x v="1"/>
    <x v="1"/>
    <x v="1"/>
    <x v="0"/>
    <x v="13"/>
    <x v="5"/>
    <x v="8"/>
    <x v="1"/>
  </r>
  <r>
    <s v="TX501607"/>
    <x v="9"/>
    <x v="2"/>
    <n v="41"/>
    <n v="123"/>
    <x v="59"/>
    <x v="57"/>
    <x v="2"/>
    <x v="3"/>
    <x v="4"/>
    <x v="0"/>
    <x v="21"/>
    <x v="3"/>
    <x v="8"/>
    <x v="2"/>
  </r>
  <r>
    <s v="TX501608"/>
    <x v="16"/>
    <x v="2"/>
    <n v="54.1"/>
    <n v="162.30000000000001"/>
    <x v="59"/>
    <x v="62"/>
    <x v="2"/>
    <x v="4"/>
    <x v="0"/>
    <x v="0"/>
    <x v="21"/>
    <x v="1"/>
    <x v="8"/>
    <x v="2"/>
  </r>
  <r>
    <s v="TX501609"/>
    <x v="11"/>
    <x v="1"/>
    <n v="39"/>
    <n v="78"/>
    <x v="59"/>
    <x v="57"/>
    <x v="1"/>
    <x v="1"/>
    <x v="2"/>
    <x v="0"/>
    <x v="1"/>
    <x v="3"/>
    <x v="8"/>
    <x v="1"/>
  </r>
  <r>
    <s v="TX501610"/>
    <x v="8"/>
    <x v="1"/>
    <n v="40.299999999999997"/>
    <n v="80.599999999999994"/>
    <x v="59"/>
    <x v="62"/>
    <x v="1"/>
    <x v="3"/>
    <x v="0"/>
    <x v="0"/>
    <x v="27"/>
    <x v="1"/>
    <x v="8"/>
    <x v="1"/>
  </r>
  <r>
    <s v="TX501611"/>
    <x v="8"/>
    <x v="2"/>
    <n v="24.1"/>
    <n v="72.300000000000011"/>
    <x v="59"/>
    <x v="57"/>
    <x v="1"/>
    <x v="0"/>
    <x v="2"/>
    <x v="0"/>
    <x v="34"/>
    <x v="3"/>
    <x v="8"/>
    <x v="1"/>
  </r>
  <r>
    <s v="TX501612"/>
    <x v="6"/>
    <x v="9"/>
    <n v="52.3"/>
    <n v="261.5"/>
    <x v="59"/>
    <x v="57"/>
    <x v="1"/>
    <x v="2"/>
    <x v="0"/>
    <x v="0"/>
    <x v="3"/>
    <x v="3"/>
    <x v="8"/>
    <x v="1"/>
  </r>
  <r>
    <s v="TX501613"/>
    <x v="12"/>
    <x v="12"/>
    <n v="68.8"/>
    <n v="275.2"/>
    <x v="59"/>
    <x v="63"/>
    <x v="2"/>
    <x v="4"/>
    <x v="2"/>
    <x v="0"/>
    <x v="3"/>
    <x v="5"/>
    <x v="8"/>
    <x v="2"/>
  </r>
  <r>
    <s v="TX501614"/>
    <x v="2"/>
    <x v="1"/>
    <n v="128.80000000000001"/>
    <n v="257.60000000000002"/>
    <x v="60"/>
    <x v="63"/>
    <x v="2"/>
    <x v="1"/>
    <x v="1"/>
    <x v="0"/>
    <x v="3"/>
    <x v="2"/>
    <x v="9"/>
    <x v="2"/>
  </r>
  <r>
    <s v="TX501615"/>
    <x v="15"/>
    <x v="9"/>
    <n v="48.2"/>
    <n v="241"/>
    <x v="60"/>
    <x v="61"/>
    <x v="2"/>
    <x v="3"/>
    <x v="0"/>
    <x v="0"/>
    <x v="3"/>
    <x v="1"/>
    <x v="9"/>
    <x v="2"/>
  </r>
  <r>
    <s v="TX501616"/>
    <x v="10"/>
    <x v="0"/>
    <n v="39.700000000000003"/>
    <n v="39.700000000000003"/>
    <x v="60"/>
    <x v="61"/>
    <x v="2"/>
    <x v="0"/>
    <x v="1"/>
    <x v="0"/>
    <x v="3"/>
    <x v="1"/>
    <x v="9"/>
    <x v="2"/>
  </r>
  <r>
    <s v="TX501617"/>
    <x v="9"/>
    <x v="0"/>
    <n v="59.7"/>
    <n v="59.7"/>
    <x v="60"/>
    <x v="63"/>
    <x v="2"/>
    <x v="4"/>
    <x v="0"/>
    <x v="0"/>
    <x v="3"/>
    <x v="2"/>
    <x v="9"/>
    <x v="2"/>
  </r>
  <r>
    <s v="TX501618"/>
    <x v="6"/>
    <x v="0"/>
    <n v="48.3"/>
    <n v="48.3"/>
    <x v="60"/>
    <x v="69"/>
    <x v="3"/>
    <x v="0"/>
    <x v="2"/>
    <x v="0"/>
    <x v="3"/>
    <x v="12"/>
    <x v="9"/>
    <x v="3"/>
  </r>
  <r>
    <s v="TX501619"/>
    <x v="8"/>
    <x v="2"/>
    <n v="45.5"/>
    <n v="136.5"/>
    <x v="60"/>
    <x v="61"/>
    <x v="1"/>
    <x v="2"/>
    <x v="1"/>
    <x v="0"/>
    <x v="3"/>
    <x v="1"/>
    <x v="9"/>
    <x v="1"/>
  </r>
  <r>
    <s v="TX501620"/>
    <x v="9"/>
    <x v="6"/>
    <n v="51"/>
    <n v="1377"/>
    <x v="60"/>
    <x v="57"/>
    <x v="2"/>
    <x v="2"/>
    <x v="0"/>
    <x v="0"/>
    <x v="3"/>
    <x v="7"/>
    <x v="9"/>
    <x v="2"/>
  </r>
  <r>
    <s v="TX501621"/>
    <x v="4"/>
    <x v="13"/>
    <n v="20.399999999999999"/>
    <n v="122.39999999999999"/>
    <x v="60"/>
    <x v="62"/>
    <x v="1"/>
    <x v="2"/>
    <x v="0"/>
    <x v="0"/>
    <x v="3"/>
    <x v="3"/>
    <x v="9"/>
    <x v="1"/>
  </r>
  <r>
    <s v="TX501622"/>
    <x v="10"/>
    <x v="1"/>
    <n v="30.4"/>
    <n v="60.8"/>
    <x v="60"/>
    <x v="61"/>
    <x v="1"/>
    <x v="2"/>
    <x v="0"/>
    <x v="0"/>
    <x v="3"/>
    <x v="1"/>
    <x v="9"/>
    <x v="1"/>
  </r>
  <r>
    <s v="TX501623"/>
    <x v="7"/>
    <x v="1"/>
    <n v="71.5"/>
    <n v="143"/>
    <x v="60"/>
    <x v="66"/>
    <x v="2"/>
    <x v="0"/>
    <x v="0"/>
    <x v="0"/>
    <x v="3"/>
    <x v="5"/>
    <x v="9"/>
    <x v="2"/>
  </r>
  <r>
    <s v="TX501624"/>
    <x v="8"/>
    <x v="13"/>
    <n v="18"/>
    <n v="108"/>
    <x v="60"/>
    <x v="62"/>
    <x v="3"/>
    <x v="1"/>
    <x v="2"/>
    <x v="0"/>
    <x v="6"/>
    <x v="3"/>
    <x v="9"/>
    <x v="3"/>
  </r>
  <r>
    <s v="TX501625"/>
    <x v="15"/>
    <x v="5"/>
    <n v="45.6"/>
    <n v="501.6"/>
    <x v="60"/>
    <x v="62"/>
    <x v="3"/>
    <x v="1"/>
    <x v="1"/>
    <x v="0"/>
    <x v="7"/>
    <x v="3"/>
    <x v="9"/>
    <x v="3"/>
  </r>
  <r>
    <s v="TX501626"/>
    <x v="9"/>
    <x v="0"/>
    <n v="31.8"/>
    <n v="31.8"/>
    <x v="60"/>
    <x v="66"/>
    <x v="2"/>
    <x v="0"/>
    <x v="2"/>
    <x v="0"/>
    <x v="7"/>
    <x v="5"/>
    <x v="9"/>
    <x v="2"/>
  </r>
  <r>
    <s v="TX501627"/>
    <x v="8"/>
    <x v="9"/>
    <n v="19.899999999999999"/>
    <n v="99.5"/>
    <x v="60"/>
    <x v="62"/>
    <x v="2"/>
    <x v="1"/>
    <x v="0"/>
    <x v="0"/>
    <x v="7"/>
    <x v="3"/>
    <x v="9"/>
    <x v="2"/>
  </r>
  <r>
    <s v="TX501628"/>
    <x v="12"/>
    <x v="11"/>
    <n v="52.1"/>
    <n v="468.90000000000003"/>
    <x v="60"/>
    <x v="61"/>
    <x v="1"/>
    <x v="0"/>
    <x v="0"/>
    <x v="0"/>
    <x v="8"/>
    <x v="1"/>
    <x v="9"/>
    <x v="1"/>
  </r>
  <r>
    <s v="TX501629"/>
    <x v="1"/>
    <x v="3"/>
    <n v="45.9"/>
    <n v="321.3"/>
    <x v="60"/>
    <x v="62"/>
    <x v="1"/>
    <x v="0"/>
    <x v="1"/>
    <x v="0"/>
    <x v="8"/>
    <x v="3"/>
    <x v="9"/>
    <x v="1"/>
  </r>
  <r>
    <s v="TX501630"/>
    <x v="1"/>
    <x v="7"/>
    <n v="115.9"/>
    <n v="1159"/>
    <x v="60"/>
    <x v="63"/>
    <x v="2"/>
    <x v="1"/>
    <x v="0"/>
    <x v="0"/>
    <x v="8"/>
    <x v="2"/>
    <x v="9"/>
    <x v="2"/>
  </r>
  <r>
    <s v="TX501631"/>
    <x v="6"/>
    <x v="11"/>
    <n v="86"/>
    <n v="774"/>
    <x v="60"/>
    <x v="68"/>
    <x v="2"/>
    <x v="0"/>
    <x v="1"/>
    <x v="0"/>
    <x v="8"/>
    <x v="0"/>
    <x v="9"/>
    <x v="2"/>
  </r>
  <r>
    <s v="TX501632"/>
    <x v="7"/>
    <x v="3"/>
    <n v="73.599999999999994"/>
    <n v="515.19999999999993"/>
    <x v="60"/>
    <x v="61"/>
    <x v="2"/>
    <x v="0"/>
    <x v="0"/>
    <x v="0"/>
    <x v="17"/>
    <x v="1"/>
    <x v="9"/>
    <x v="2"/>
  </r>
  <r>
    <s v="TX501633"/>
    <x v="10"/>
    <x v="2"/>
    <n v="26.7"/>
    <n v="80.099999999999994"/>
    <x v="60"/>
    <x v="66"/>
    <x v="2"/>
    <x v="0"/>
    <x v="0"/>
    <x v="0"/>
    <x v="11"/>
    <x v="5"/>
    <x v="9"/>
    <x v="2"/>
  </r>
  <r>
    <s v="TX501634"/>
    <x v="8"/>
    <x v="3"/>
    <n v="46.6"/>
    <n v="326.2"/>
    <x v="60"/>
    <x v="61"/>
    <x v="0"/>
    <x v="3"/>
    <x v="0"/>
    <x v="0"/>
    <x v="11"/>
    <x v="1"/>
    <x v="9"/>
    <x v="0"/>
  </r>
  <r>
    <s v="TX501635"/>
    <x v="3"/>
    <x v="2"/>
    <n v="84.6"/>
    <n v="253.79999999999998"/>
    <x v="60"/>
    <x v="61"/>
    <x v="1"/>
    <x v="4"/>
    <x v="0"/>
    <x v="0"/>
    <x v="11"/>
    <x v="1"/>
    <x v="9"/>
    <x v="1"/>
  </r>
  <r>
    <s v="TX501636"/>
    <x v="7"/>
    <x v="21"/>
    <n v="41.5"/>
    <n v="581"/>
    <x v="60"/>
    <x v="69"/>
    <x v="1"/>
    <x v="1"/>
    <x v="0"/>
    <x v="0"/>
    <x v="53"/>
    <x v="12"/>
    <x v="9"/>
    <x v="1"/>
  </r>
  <r>
    <s v="TX501637"/>
    <x v="8"/>
    <x v="0"/>
    <n v="32.799999999999997"/>
    <n v="32.799999999999997"/>
    <x v="60"/>
    <x v="63"/>
    <x v="1"/>
    <x v="0"/>
    <x v="2"/>
    <x v="0"/>
    <x v="30"/>
    <x v="2"/>
    <x v="9"/>
    <x v="1"/>
  </r>
  <r>
    <s v="TX501638"/>
    <x v="4"/>
    <x v="3"/>
    <n v="46.7"/>
    <n v="326.90000000000003"/>
    <x v="60"/>
    <x v="61"/>
    <x v="3"/>
    <x v="0"/>
    <x v="2"/>
    <x v="0"/>
    <x v="18"/>
    <x v="1"/>
    <x v="9"/>
    <x v="3"/>
  </r>
  <r>
    <s v="TX501639"/>
    <x v="15"/>
    <x v="3"/>
    <n v="21"/>
    <n v="147"/>
    <x v="60"/>
    <x v="63"/>
    <x v="1"/>
    <x v="2"/>
    <x v="1"/>
    <x v="0"/>
    <x v="21"/>
    <x v="2"/>
    <x v="9"/>
    <x v="1"/>
  </r>
  <r>
    <s v="TX501640"/>
    <x v="5"/>
    <x v="3"/>
    <n v="29.4"/>
    <n v="205.79999999999998"/>
    <x v="60"/>
    <x v="57"/>
    <x v="1"/>
    <x v="3"/>
    <x v="2"/>
    <x v="0"/>
    <x v="21"/>
    <x v="7"/>
    <x v="9"/>
    <x v="1"/>
  </r>
  <r>
    <s v="TX501641"/>
    <x v="15"/>
    <x v="1"/>
    <n v="32.299999999999997"/>
    <n v="64.599999999999994"/>
    <x v="60"/>
    <x v="62"/>
    <x v="1"/>
    <x v="0"/>
    <x v="2"/>
    <x v="0"/>
    <x v="21"/>
    <x v="3"/>
    <x v="9"/>
    <x v="1"/>
  </r>
  <r>
    <s v="TX501642"/>
    <x v="6"/>
    <x v="0"/>
    <n v="42.2"/>
    <n v="42.2"/>
    <x v="61"/>
    <x v="63"/>
    <x v="2"/>
    <x v="0"/>
    <x v="2"/>
    <x v="0"/>
    <x v="21"/>
    <x v="1"/>
    <x v="9"/>
    <x v="2"/>
  </r>
  <r>
    <s v="TX501643"/>
    <x v="6"/>
    <x v="0"/>
    <n v="53.7"/>
    <n v="53.7"/>
    <x v="61"/>
    <x v="63"/>
    <x v="1"/>
    <x v="1"/>
    <x v="1"/>
    <x v="0"/>
    <x v="1"/>
    <x v="1"/>
    <x v="9"/>
    <x v="1"/>
  </r>
  <r>
    <s v="TX501644"/>
    <x v="2"/>
    <x v="1"/>
    <n v="123.9"/>
    <n v="247.8"/>
    <x v="61"/>
    <x v="66"/>
    <x v="1"/>
    <x v="2"/>
    <x v="0"/>
    <x v="0"/>
    <x v="1"/>
    <x v="2"/>
    <x v="9"/>
    <x v="1"/>
  </r>
  <r>
    <s v="TX501645"/>
    <x v="4"/>
    <x v="2"/>
    <n v="35.9"/>
    <n v="107.69999999999999"/>
    <x v="61"/>
    <x v="63"/>
    <x v="1"/>
    <x v="2"/>
    <x v="0"/>
    <x v="0"/>
    <x v="22"/>
    <x v="1"/>
    <x v="9"/>
    <x v="1"/>
  </r>
  <r>
    <s v="TX501646"/>
    <x v="4"/>
    <x v="1"/>
    <n v="23.6"/>
    <n v="47.2"/>
    <x v="61"/>
    <x v="66"/>
    <x v="1"/>
    <x v="0"/>
    <x v="2"/>
    <x v="0"/>
    <x v="3"/>
    <x v="2"/>
    <x v="9"/>
    <x v="1"/>
  </r>
  <r>
    <s v="TX501647"/>
    <x v="15"/>
    <x v="36"/>
    <n v="45.7"/>
    <n v="1599.5"/>
    <x v="61"/>
    <x v="61"/>
    <x v="1"/>
    <x v="0"/>
    <x v="1"/>
    <x v="0"/>
    <x v="3"/>
    <x v="3"/>
    <x v="9"/>
    <x v="1"/>
  </r>
  <r>
    <s v="TX501648"/>
    <x v="6"/>
    <x v="5"/>
    <n v="118.3"/>
    <n v="1301.3"/>
    <x v="61"/>
    <x v="63"/>
    <x v="1"/>
    <x v="4"/>
    <x v="2"/>
    <x v="0"/>
    <x v="3"/>
    <x v="1"/>
    <x v="9"/>
    <x v="1"/>
  </r>
  <r>
    <s v="TX501649"/>
    <x v="19"/>
    <x v="0"/>
    <n v="36"/>
    <n v="36"/>
    <x v="61"/>
    <x v="61"/>
    <x v="2"/>
    <x v="0"/>
    <x v="1"/>
    <x v="0"/>
    <x v="3"/>
    <x v="3"/>
    <x v="9"/>
    <x v="2"/>
  </r>
  <r>
    <s v="TX501650"/>
    <x v="8"/>
    <x v="1"/>
    <n v="37.1"/>
    <n v="74.2"/>
    <x v="61"/>
    <x v="66"/>
    <x v="2"/>
    <x v="2"/>
    <x v="0"/>
    <x v="0"/>
    <x v="3"/>
    <x v="2"/>
    <x v="9"/>
    <x v="2"/>
  </r>
  <r>
    <s v="TX501651"/>
    <x v="18"/>
    <x v="2"/>
    <n v="45.1"/>
    <n v="135.30000000000001"/>
    <x v="61"/>
    <x v="63"/>
    <x v="2"/>
    <x v="1"/>
    <x v="2"/>
    <x v="0"/>
    <x v="3"/>
    <x v="1"/>
    <x v="9"/>
    <x v="2"/>
  </r>
  <r>
    <s v="TX501652"/>
    <x v="5"/>
    <x v="27"/>
    <n v="37.9"/>
    <n v="606.4"/>
    <x v="61"/>
    <x v="61"/>
    <x v="2"/>
    <x v="3"/>
    <x v="2"/>
    <x v="0"/>
    <x v="3"/>
    <x v="3"/>
    <x v="9"/>
    <x v="2"/>
  </r>
  <r>
    <s v="TX501653"/>
    <x v="2"/>
    <x v="1"/>
    <n v="121.6"/>
    <n v="243.2"/>
    <x v="61"/>
    <x v="66"/>
    <x v="1"/>
    <x v="3"/>
    <x v="2"/>
    <x v="0"/>
    <x v="3"/>
    <x v="2"/>
    <x v="9"/>
    <x v="1"/>
  </r>
  <r>
    <s v="TX501654"/>
    <x v="5"/>
    <x v="3"/>
    <n v="38.200000000000003"/>
    <n v="267.40000000000003"/>
    <x v="61"/>
    <x v="66"/>
    <x v="2"/>
    <x v="0"/>
    <x v="0"/>
    <x v="0"/>
    <x v="3"/>
    <x v="2"/>
    <x v="9"/>
    <x v="2"/>
  </r>
  <r>
    <s v="TX501655"/>
    <x v="17"/>
    <x v="1"/>
    <n v="37.200000000000003"/>
    <n v="74.400000000000006"/>
    <x v="61"/>
    <x v="66"/>
    <x v="1"/>
    <x v="4"/>
    <x v="0"/>
    <x v="0"/>
    <x v="3"/>
    <x v="2"/>
    <x v="9"/>
    <x v="1"/>
  </r>
  <r>
    <s v="TX501656"/>
    <x v="2"/>
    <x v="12"/>
    <n v="115.7"/>
    <n v="462.8"/>
    <x v="61"/>
    <x v="66"/>
    <x v="2"/>
    <x v="1"/>
    <x v="0"/>
    <x v="0"/>
    <x v="3"/>
    <x v="2"/>
    <x v="9"/>
    <x v="2"/>
  </r>
  <r>
    <s v="TX501657"/>
    <x v="2"/>
    <x v="13"/>
    <n v="99.4"/>
    <n v="596.40000000000009"/>
    <x v="61"/>
    <x v="66"/>
    <x v="1"/>
    <x v="0"/>
    <x v="2"/>
    <x v="0"/>
    <x v="3"/>
    <x v="2"/>
    <x v="9"/>
    <x v="1"/>
  </r>
  <r>
    <s v="TX501658"/>
    <x v="11"/>
    <x v="0"/>
    <n v="38.700000000000003"/>
    <n v="38.700000000000003"/>
    <x v="61"/>
    <x v="61"/>
    <x v="2"/>
    <x v="2"/>
    <x v="0"/>
    <x v="0"/>
    <x v="25"/>
    <x v="3"/>
    <x v="9"/>
    <x v="2"/>
  </r>
  <r>
    <s v="TX501659"/>
    <x v="4"/>
    <x v="1"/>
    <n v="35.5"/>
    <n v="71"/>
    <x v="61"/>
    <x v="66"/>
    <x v="1"/>
    <x v="0"/>
    <x v="2"/>
    <x v="0"/>
    <x v="25"/>
    <x v="2"/>
    <x v="9"/>
    <x v="1"/>
  </r>
  <r>
    <s v="TX501660"/>
    <x v="2"/>
    <x v="12"/>
    <n v="93.3"/>
    <n v="373.2"/>
    <x v="61"/>
    <x v="66"/>
    <x v="2"/>
    <x v="0"/>
    <x v="2"/>
    <x v="0"/>
    <x v="6"/>
    <x v="2"/>
    <x v="9"/>
    <x v="2"/>
  </r>
  <r>
    <s v="TX501661"/>
    <x v="16"/>
    <x v="0"/>
    <n v="31.4"/>
    <n v="31.4"/>
    <x v="61"/>
    <x v="70"/>
    <x v="2"/>
    <x v="2"/>
    <x v="2"/>
    <x v="0"/>
    <x v="6"/>
    <x v="0"/>
    <x v="9"/>
    <x v="2"/>
  </r>
  <r>
    <s v="TX501662"/>
    <x v="1"/>
    <x v="0"/>
    <n v="85.9"/>
    <n v="85.9"/>
    <x v="61"/>
    <x v="66"/>
    <x v="1"/>
    <x v="1"/>
    <x v="0"/>
    <x v="0"/>
    <x v="6"/>
    <x v="2"/>
    <x v="9"/>
    <x v="1"/>
  </r>
  <r>
    <s v="TX501663"/>
    <x v="6"/>
    <x v="8"/>
    <n v="41.7"/>
    <n v="333.6"/>
    <x v="61"/>
    <x v="71"/>
    <x v="1"/>
    <x v="0"/>
    <x v="2"/>
    <x v="0"/>
    <x v="7"/>
    <x v="9"/>
    <x v="9"/>
    <x v="1"/>
  </r>
  <r>
    <s v="TX501664"/>
    <x v="8"/>
    <x v="12"/>
    <n v="31.5"/>
    <n v="126"/>
    <x v="61"/>
    <x v="61"/>
    <x v="2"/>
    <x v="0"/>
    <x v="0"/>
    <x v="0"/>
    <x v="7"/>
    <x v="3"/>
    <x v="9"/>
    <x v="2"/>
  </r>
  <r>
    <s v="TX501665"/>
    <x v="8"/>
    <x v="1"/>
    <n v="36.299999999999997"/>
    <n v="72.599999999999994"/>
    <x v="61"/>
    <x v="61"/>
    <x v="2"/>
    <x v="0"/>
    <x v="4"/>
    <x v="0"/>
    <x v="8"/>
    <x v="3"/>
    <x v="9"/>
    <x v="2"/>
  </r>
  <r>
    <s v="TX501666"/>
    <x v="8"/>
    <x v="2"/>
    <n v="33.4"/>
    <n v="100.19999999999999"/>
    <x v="61"/>
    <x v="61"/>
    <x v="2"/>
    <x v="3"/>
    <x v="0"/>
    <x v="0"/>
    <x v="17"/>
    <x v="3"/>
    <x v="9"/>
    <x v="2"/>
  </r>
  <r>
    <s v="TX501667"/>
    <x v="2"/>
    <x v="2"/>
    <n v="65.2"/>
    <n v="195.60000000000002"/>
    <x v="61"/>
    <x v="61"/>
    <x v="2"/>
    <x v="2"/>
    <x v="2"/>
    <x v="0"/>
    <x v="26"/>
    <x v="3"/>
    <x v="9"/>
    <x v="2"/>
  </r>
  <r>
    <s v="TX501668"/>
    <x v="8"/>
    <x v="11"/>
    <n v="65.5"/>
    <n v="589.5"/>
    <x v="61"/>
    <x v="66"/>
    <x v="2"/>
    <x v="0"/>
    <x v="2"/>
    <x v="0"/>
    <x v="9"/>
    <x v="2"/>
    <x v="9"/>
    <x v="2"/>
  </r>
  <r>
    <s v="TX501669"/>
    <x v="6"/>
    <x v="2"/>
    <n v="52.8"/>
    <n v="158.39999999999998"/>
    <x v="61"/>
    <x v="66"/>
    <x v="1"/>
    <x v="2"/>
    <x v="0"/>
    <x v="0"/>
    <x v="9"/>
    <x v="2"/>
    <x v="9"/>
    <x v="1"/>
  </r>
  <r>
    <s v="TX501670"/>
    <x v="9"/>
    <x v="9"/>
    <n v="24"/>
    <n v="120"/>
    <x v="61"/>
    <x v="68"/>
    <x v="1"/>
    <x v="0"/>
    <x v="1"/>
    <x v="0"/>
    <x v="11"/>
    <x v="5"/>
    <x v="9"/>
    <x v="1"/>
  </r>
  <r>
    <s v="TX501671"/>
    <x v="3"/>
    <x v="2"/>
    <n v="51.2"/>
    <n v="153.60000000000002"/>
    <x v="61"/>
    <x v="61"/>
    <x v="2"/>
    <x v="0"/>
    <x v="0"/>
    <x v="0"/>
    <x v="32"/>
    <x v="3"/>
    <x v="9"/>
    <x v="2"/>
  </r>
  <r>
    <s v="TX501672"/>
    <x v="5"/>
    <x v="2"/>
    <n v="28.3"/>
    <n v="84.9"/>
    <x v="61"/>
    <x v="63"/>
    <x v="1"/>
    <x v="4"/>
    <x v="0"/>
    <x v="0"/>
    <x v="19"/>
    <x v="1"/>
    <x v="9"/>
    <x v="1"/>
  </r>
  <r>
    <s v="TX501673"/>
    <x v="6"/>
    <x v="2"/>
    <n v="42.3"/>
    <n v="126.89999999999999"/>
    <x v="61"/>
    <x v="62"/>
    <x v="2"/>
    <x v="2"/>
    <x v="1"/>
    <x v="0"/>
    <x v="19"/>
    <x v="7"/>
    <x v="9"/>
    <x v="2"/>
  </r>
  <r>
    <s v="TX501674"/>
    <x v="2"/>
    <x v="8"/>
    <n v="163.30000000000001"/>
    <n v="1306.4000000000001"/>
    <x v="62"/>
    <x v="63"/>
    <x v="2"/>
    <x v="1"/>
    <x v="0"/>
    <x v="0"/>
    <x v="13"/>
    <x v="3"/>
    <x v="9"/>
    <x v="2"/>
  </r>
  <r>
    <s v="TX501675"/>
    <x v="6"/>
    <x v="3"/>
    <n v="47.3"/>
    <n v="331.09999999999997"/>
    <x v="62"/>
    <x v="68"/>
    <x v="2"/>
    <x v="4"/>
    <x v="1"/>
    <x v="0"/>
    <x v="21"/>
    <x v="2"/>
    <x v="9"/>
    <x v="2"/>
  </r>
  <r>
    <s v="TX501676"/>
    <x v="8"/>
    <x v="27"/>
    <n v="27.3"/>
    <n v="436.8"/>
    <x v="62"/>
    <x v="63"/>
    <x v="2"/>
    <x v="2"/>
    <x v="0"/>
    <x v="0"/>
    <x v="21"/>
    <x v="3"/>
    <x v="9"/>
    <x v="2"/>
  </r>
  <r>
    <s v="TX501677"/>
    <x v="10"/>
    <x v="13"/>
    <n v="34.9"/>
    <n v="209.39999999999998"/>
    <x v="62"/>
    <x v="72"/>
    <x v="2"/>
    <x v="0"/>
    <x v="0"/>
    <x v="0"/>
    <x v="21"/>
    <x v="11"/>
    <x v="9"/>
    <x v="2"/>
  </r>
  <r>
    <s v="TX501678"/>
    <x v="6"/>
    <x v="1"/>
    <n v="53.9"/>
    <n v="107.8"/>
    <x v="62"/>
    <x v="68"/>
    <x v="3"/>
    <x v="0"/>
    <x v="4"/>
    <x v="0"/>
    <x v="1"/>
    <x v="2"/>
    <x v="9"/>
    <x v="3"/>
  </r>
  <r>
    <s v="TX501679"/>
    <x v="2"/>
    <x v="1"/>
    <n v="87.2"/>
    <n v="174.4"/>
    <x v="62"/>
    <x v="63"/>
    <x v="2"/>
    <x v="0"/>
    <x v="1"/>
    <x v="0"/>
    <x v="1"/>
    <x v="3"/>
    <x v="9"/>
    <x v="2"/>
  </r>
  <r>
    <s v="TX501680"/>
    <x v="15"/>
    <x v="0"/>
    <n v="58.8"/>
    <n v="58.8"/>
    <x v="62"/>
    <x v="66"/>
    <x v="2"/>
    <x v="2"/>
    <x v="0"/>
    <x v="0"/>
    <x v="44"/>
    <x v="1"/>
    <x v="9"/>
    <x v="2"/>
  </r>
  <r>
    <s v="TX501681"/>
    <x v="2"/>
    <x v="3"/>
    <n v="125.5"/>
    <n v="878.5"/>
    <x v="62"/>
    <x v="63"/>
    <x v="1"/>
    <x v="2"/>
    <x v="4"/>
    <x v="0"/>
    <x v="22"/>
    <x v="3"/>
    <x v="9"/>
    <x v="1"/>
  </r>
  <r>
    <s v="TX501682"/>
    <x v="1"/>
    <x v="12"/>
    <n v="124.6"/>
    <n v="498.4"/>
    <x v="62"/>
    <x v="66"/>
    <x v="2"/>
    <x v="0"/>
    <x v="1"/>
    <x v="0"/>
    <x v="22"/>
    <x v="1"/>
    <x v="9"/>
    <x v="2"/>
  </r>
  <r>
    <s v="TX501683"/>
    <x v="1"/>
    <x v="3"/>
    <n v="39.9"/>
    <n v="279.3"/>
    <x v="62"/>
    <x v="63"/>
    <x v="1"/>
    <x v="2"/>
    <x v="1"/>
    <x v="0"/>
    <x v="3"/>
    <x v="3"/>
    <x v="9"/>
    <x v="1"/>
  </r>
  <r>
    <s v="TX501684"/>
    <x v="6"/>
    <x v="0"/>
    <n v="94.6"/>
    <n v="94.6"/>
    <x v="62"/>
    <x v="73"/>
    <x v="2"/>
    <x v="0"/>
    <x v="1"/>
    <x v="0"/>
    <x v="3"/>
    <x v="12"/>
    <x v="9"/>
    <x v="2"/>
  </r>
  <r>
    <s v="TX501685"/>
    <x v="2"/>
    <x v="1"/>
    <n v="149.6"/>
    <n v="299.2"/>
    <x v="62"/>
    <x v="63"/>
    <x v="2"/>
    <x v="0"/>
    <x v="0"/>
    <x v="0"/>
    <x v="3"/>
    <x v="3"/>
    <x v="9"/>
    <x v="2"/>
  </r>
  <r>
    <s v="TX501686"/>
    <x v="8"/>
    <x v="0"/>
    <n v="52.2"/>
    <n v="52.2"/>
    <x v="62"/>
    <x v="63"/>
    <x v="0"/>
    <x v="1"/>
    <x v="0"/>
    <x v="0"/>
    <x v="3"/>
    <x v="3"/>
    <x v="9"/>
    <x v="0"/>
  </r>
  <r>
    <s v="TX501687"/>
    <x v="6"/>
    <x v="1"/>
    <n v="96.5"/>
    <n v="193"/>
    <x v="62"/>
    <x v="63"/>
    <x v="2"/>
    <x v="1"/>
    <x v="1"/>
    <x v="0"/>
    <x v="3"/>
    <x v="3"/>
    <x v="9"/>
    <x v="2"/>
  </r>
  <r>
    <s v="TX501688"/>
    <x v="8"/>
    <x v="1"/>
    <n v="79.8"/>
    <n v="159.6"/>
    <x v="62"/>
    <x v="66"/>
    <x v="2"/>
    <x v="0"/>
    <x v="1"/>
    <x v="0"/>
    <x v="3"/>
    <x v="1"/>
    <x v="9"/>
    <x v="2"/>
  </r>
  <r>
    <s v="TX501689"/>
    <x v="8"/>
    <x v="2"/>
    <n v="35.6"/>
    <n v="106.80000000000001"/>
    <x v="62"/>
    <x v="63"/>
    <x v="2"/>
    <x v="2"/>
    <x v="0"/>
    <x v="0"/>
    <x v="3"/>
    <x v="3"/>
    <x v="9"/>
    <x v="2"/>
  </r>
  <r>
    <s v="TX501690"/>
    <x v="16"/>
    <x v="0"/>
    <n v="50.2"/>
    <n v="50.2"/>
    <x v="62"/>
    <x v="63"/>
    <x v="2"/>
    <x v="1"/>
    <x v="2"/>
    <x v="0"/>
    <x v="3"/>
    <x v="3"/>
    <x v="9"/>
    <x v="2"/>
  </r>
  <r>
    <s v="TX501691"/>
    <x v="1"/>
    <x v="2"/>
    <n v="55.3"/>
    <n v="165.89999999999998"/>
    <x v="62"/>
    <x v="68"/>
    <x v="2"/>
    <x v="0"/>
    <x v="4"/>
    <x v="0"/>
    <x v="40"/>
    <x v="2"/>
    <x v="9"/>
    <x v="2"/>
  </r>
  <r>
    <s v="TX501692"/>
    <x v="6"/>
    <x v="3"/>
    <n v="104.5"/>
    <n v="731.5"/>
    <x v="62"/>
    <x v="70"/>
    <x v="2"/>
    <x v="1"/>
    <x v="0"/>
    <x v="0"/>
    <x v="7"/>
    <x v="5"/>
    <x v="9"/>
    <x v="2"/>
  </r>
  <r>
    <s v="TX501693"/>
    <x v="6"/>
    <x v="12"/>
    <n v="66.5"/>
    <n v="266"/>
    <x v="62"/>
    <x v="66"/>
    <x v="1"/>
    <x v="1"/>
    <x v="0"/>
    <x v="0"/>
    <x v="7"/>
    <x v="1"/>
    <x v="9"/>
    <x v="1"/>
  </r>
  <r>
    <s v="TX501694"/>
    <x v="10"/>
    <x v="8"/>
    <n v="38.299999999999997"/>
    <n v="306.39999999999998"/>
    <x v="62"/>
    <x v="63"/>
    <x v="2"/>
    <x v="0"/>
    <x v="0"/>
    <x v="0"/>
    <x v="7"/>
    <x v="3"/>
    <x v="9"/>
    <x v="2"/>
  </r>
  <r>
    <s v="TX501695"/>
    <x v="6"/>
    <x v="2"/>
    <n v="63.8"/>
    <n v="191.39999999999998"/>
    <x v="62"/>
    <x v="68"/>
    <x v="2"/>
    <x v="1"/>
    <x v="0"/>
    <x v="0"/>
    <x v="8"/>
    <x v="2"/>
    <x v="9"/>
    <x v="2"/>
  </r>
  <r>
    <s v="TX501696"/>
    <x v="15"/>
    <x v="0"/>
    <n v="21.4"/>
    <n v="21.4"/>
    <x v="62"/>
    <x v="61"/>
    <x v="1"/>
    <x v="4"/>
    <x v="0"/>
    <x v="0"/>
    <x v="8"/>
    <x v="7"/>
    <x v="9"/>
    <x v="1"/>
  </r>
  <r>
    <s v="TX501697"/>
    <x v="8"/>
    <x v="12"/>
    <n v="44.1"/>
    <n v="176.4"/>
    <x v="62"/>
    <x v="66"/>
    <x v="2"/>
    <x v="2"/>
    <x v="0"/>
    <x v="0"/>
    <x v="8"/>
    <x v="1"/>
    <x v="9"/>
    <x v="2"/>
  </r>
  <r>
    <s v="TX501698"/>
    <x v="5"/>
    <x v="8"/>
    <n v="57.6"/>
    <n v="460.8"/>
    <x v="62"/>
    <x v="66"/>
    <x v="1"/>
    <x v="1"/>
    <x v="2"/>
    <x v="0"/>
    <x v="8"/>
    <x v="1"/>
    <x v="9"/>
    <x v="1"/>
  </r>
  <r>
    <s v="TX501699"/>
    <x v="9"/>
    <x v="1"/>
    <n v="20.3"/>
    <n v="40.6"/>
    <x v="62"/>
    <x v="65"/>
    <x v="2"/>
    <x v="3"/>
    <x v="0"/>
    <x v="0"/>
    <x v="8"/>
    <x v="4"/>
    <x v="9"/>
    <x v="2"/>
  </r>
  <r>
    <s v="TX501700"/>
    <x v="8"/>
    <x v="0"/>
    <n v="22.9"/>
    <n v="22.9"/>
    <x v="62"/>
    <x v="66"/>
    <x v="2"/>
    <x v="2"/>
    <x v="2"/>
    <x v="0"/>
    <x v="8"/>
    <x v="1"/>
    <x v="9"/>
    <x v="2"/>
  </r>
  <r>
    <s v="TX501701"/>
    <x v="6"/>
    <x v="12"/>
    <n v="105.9"/>
    <n v="423.6"/>
    <x v="62"/>
    <x v="63"/>
    <x v="2"/>
    <x v="1"/>
    <x v="2"/>
    <x v="0"/>
    <x v="17"/>
    <x v="3"/>
    <x v="9"/>
    <x v="2"/>
  </r>
  <r>
    <s v="TX501702"/>
    <x v="1"/>
    <x v="11"/>
    <n v="37.4"/>
    <n v="336.59999999999997"/>
    <x v="62"/>
    <x v="70"/>
    <x v="1"/>
    <x v="1"/>
    <x v="0"/>
    <x v="0"/>
    <x v="11"/>
    <x v="5"/>
    <x v="9"/>
    <x v="1"/>
  </r>
  <r>
    <s v="TX501703"/>
    <x v="18"/>
    <x v="1"/>
    <n v="79"/>
    <n v="158"/>
    <x v="62"/>
    <x v="63"/>
    <x v="1"/>
    <x v="2"/>
    <x v="0"/>
    <x v="0"/>
    <x v="28"/>
    <x v="3"/>
    <x v="9"/>
    <x v="1"/>
  </r>
  <r>
    <s v="TX501704"/>
    <x v="0"/>
    <x v="2"/>
    <n v="19.3"/>
    <n v="57.900000000000006"/>
    <x v="62"/>
    <x v="63"/>
    <x v="2"/>
    <x v="4"/>
    <x v="0"/>
    <x v="0"/>
    <x v="21"/>
    <x v="3"/>
    <x v="9"/>
    <x v="2"/>
  </r>
  <r>
    <s v="TX501705"/>
    <x v="0"/>
    <x v="0"/>
    <n v="24"/>
    <n v="24"/>
    <x v="62"/>
    <x v="63"/>
    <x v="2"/>
    <x v="1"/>
    <x v="0"/>
    <x v="0"/>
    <x v="1"/>
    <x v="3"/>
    <x v="9"/>
    <x v="2"/>
  </r>
  <r>
    <s v="TX501706"/>
    <x v="6"/>
    <x v="9"/>
    <n v="71.3"/>
    <n v="356.5"/>
    <x v="62"/>
    <x v="68"/>
    <x v="2"/>
    <x v="2"/>
    <x v="0"/>
    <x v="0"/>
    <x v="2"/>
    <x v="2"/>
    <x v="9"/>
    <x v="2"/>
  </r>
  <r>
    <s v="TX501707"/>
    <x v="5"/>
    <x v="1"/>
    <n v="166.2"/>
    <n v="332.4"/>
    <x v="62"/>
    <x v="63"/>
    <x v="1"/>
    <x v="0"/>
    <x v="2"/>
    <x v="0"/>
    <x v="50"/>
    <x v="3"/>
    <x v="9"/>
    <x v="1"/>
  </r>
  <r>
    <s v="TX501708"/>
    <x v="6"/>
    <x v="0"/>
    <n v="81"/>
    <n v="81"/>
    <x v="62"/>
    <x v="63"/>
    <x v="2"/>
    <x v="2"/>
    <x v="1"/>
    <x v="0"/>
    <x v="3"/>
    <x v="3"/>
    <x v="9"/>
    <x v="2"/>
  </r>
  <r>
    <s v="TX501709"/>
    <x v="10"/>
    <x v="13"/>
    <n v="38.5"/>
    <n v="231"/>
    <x v="62"/>
    <x v="70"/>
    <x v="2"/>
    <x v="0"/>
    <x v="0"/>
    <x v="0"/>
    <x v="3"/>
    <x v="5"/>
    <x v="9"/>
    <x v="2"/>
  </r>
  <r>
    <s v="TX501710"/>
    <x v="6"/>
    <x v="0"/>
    <n v="86.1"/>
    <n v="86.1"/>
    <x v="62"/>
    <x v="66"/>
    <x v="2"/>
    <x v="3"/>
    <x v="0"/>
    <x v="0"/>
    <x v="3"/>
    <x v="1"/>
    <x v="9"/>
    <x v="2"/>
  </r>
  <r>
    <s v="TX501711"/>
    <x v="2"/>
    <x v="9"/>
    <n v="51"/>
    <n v="255"/>
    <x v="62"/>
    <x v="63"/>
    <x v="1"/>
    <x v="0"/>
    <x v="1"/>
    <x v="0"/>
    <x v="3"/>
    <x v="3"/>
    <x v="9"/>
    <x v="1"/>
  </r>
  <r>
    <s v="TX501712"/>
    <x v="3"/>
    <x v="9"/>
    <n v="115.4"/>
    <n v="577"/>
    <x v="62"/>
    <x v="63"/>
    <x v="1"/>
    <x v="0"/>
    <x v="0"/>
    <x v="0"/>
    <x v="3"/>
    <x v="3"/>
    <x v="9"/>
    <x v="1"/>
  </r>
  <r>
    <s v="TX501713"/>
    <x v="6"/>
    <x v="12"/>
    <n v="176.5"/>
    <n v="706"/>
    <x v="62"/>
    <x v="63"/>
    <x v="2"/>
    <x v="2"/>
    <x v="2"/>
    <x v="0"/>
    <x v="3"/>
    <x v="3"/>
    <x v="9"/>
    <x v="2"/>
  </r>
  <r>
    <s v="TX501714"/>
    <x v="7"/>
    <x v="2"/>
    <n v="48.9"/>
    <n v="146.69999999999999"/>
    <x v="62"/>
    <x v="63"/>
    <x v="1"/>
    <x v="4"/>
    <x v="0"/>
    <x v="0"/>
    <x v="3"/>
    <x v="3"/>
    <x v="9"/>
    <x v="1"/>
  </r>
  <r>
    <s v="TX501715"/>
    <x v="8"/>
    <x v="2"/>
    <n v="18.100000000000001"/>
    <n v="54.300000000000004"/>
    <x v="62"/>
    <x v="71"/>
    <x v="2"/>
    <x v="1"/>
    <x v="2"/>
    <x v="0"/>
    <x v="29"/>
    <x v="6"/>
    <x v="9"/>
    <x v="2"/>
  </r>
  <r>
    <s v="TX501716"/>
    <x v="2"/>
    <x v="1"/>
    <n v="118.5"/>
    <n v="237"/>
    <x v="62"/>
    <x v="68"/>
    <x v="1"/>
    <x v="1"/>
    <x v="2"/>
    <x v="0"/>
    <x v="16"/>
    <x v="2"/>
    <x v="9"/>
    <x v="1"/>
  </r>
  <r>
    <s v="TX501717"/>
    <x v="15"/>
    <x v="3"/>
    <n v="59.1"/>
    <n v="413.7"/>
    <x v="62"/>
    <x v="63"/>
    <x v="2"/>
    <x v="3"/>
    <x v="0"/>
    <x v="0"/>
    <x v="25"/>
    <x v="3"/>
    <x v="9"/>
    <x v="2"/>
  </r>
  <r>
    <s v="TX501718"/>
    <x v="4"/>
    <x v="0"/>
    <n v="21.2"/>
    <n v="21.2"/>
    <x v="62"/>
    <x v="63"/>
    <x v="2"/>
    <x v="0"/>
    <x v="1"/>
    <x v="0"/>
    <x v="6"/>
    <x v="3"/>
    <x v="9"/>
    <x v="2"/>
  </r>
  <r>
    <s v="TX501719"/>
    <x v="6"/>
    <x v="1"/>
    <n v="68.8"/>
    <n v="137.6"/>
    <x v="62"/>
    <x v="60"/>
    <x v="2"/>
    <x v="3"/>
    <x v="2"/>
    <x v="0"/>
    <x v="6"/>
    <x v="0"/>
    <x v="9"/>
    <x v="2"/>
  </r>
  <r>
    <s v="TX501720"/>
    <x v="6"/>
    <x v="1"/>
    <n v="65.400000000000006"/>
    <n v="130.80000000000001"/>
    <x v="62"/>
    <x v="70"/>
    <x v="2"/>
    <x v="0"/>
    <x v="0"/>
    <x v="0"/>
    <x v="6"/>
    <x v="5"/>
    <x v="9"/>
    <x v="2"/>
  </r>
  <r>
    <s v="TX501721"/>
    <x v="12"/>
    <x v="9"/>
    <n v="66.3"/>
    <n v="331.5"/>
    <x v="63"/>
    <x v="70"/>
    <x v="2"/>
    <x v="4"/>
    <x v="0"/>
    <x v="0"/>
    <x v="6"/>
    <x v="2"/>
    <x v="9"/>
    <x v="2"/>
  </r>
  <r>
    <s v="TX501722"/>
    <x v="6"/>
    <x v="2"/>
    <n v="97.5"/>
    <n v="292.5"/>
    <x v="63"/>
    <x v="63"/>
    <x v="1"/>
    <x v="3"/>
    <x v="0"/>
    <x v="0"/>
    <x v="8"/>
    <x v="7"/>
    <x v="9"/>
    <x v="1"/>
  </r>
  <r>
    <s v="TX501723"/>
    <x v="1"/>
    <x v="1"/>
    <n v="44"/>
    <n v="88"/>
    <x v="63"/>
    <x v="70"/>
    <x v="2"/>
    <x v="1"/>
    <x v="2"/>
    <x v="0"/>
    <x v="8"/>
    <x v="2"/>
    <x v="9"/>
    <x v="2"/>
  </r>
  <r>
    <s v="TX501724"/>
    <x v="0"/>
    <x v="0"/>
    <n v="21.9"/>
    <n v="21.9"/>
    <x v="63"/>
    <x v="66"/>
    <x v="1"/>
    <x v="0"/>
    <x v="0"/>
    <x v="0"/>
    <x v="8"/>
    <x v="3"/>
    <x v="9"/>
    <x v="1"/>
  </r>
  <r>
    <s v="TX501725"/>
    <x v="4"/>
    <x v="3"/>
    <n v="21.5"/>
    <n v="150.5"/>
    <x v="63"/>
    <x v="68"/>
    <x v="2"/>
    <x v="1"/>
    <x v="2"/>
    <x v="0"/>
    <x v="9"/>
    <x v="1"/>
    <x v="9"/>
    <x v="2"/>
  </r>
  <r>
    <s v="TX501726"/>
    <x v="12"/>
    <x v="13"/>
    <n v="133"/>
    <n v="798"/>
    <x v="63"/>
    <x v="66"/>
    <x v="3"/>
    <x v="0"/>
    <x v="2"/>
    <x v="0"/>
    <x v="10"/>
    <x v="3"/>
    <x v="9"/>
    <x v="3"/>
  </r>
  <r>
    <s v="TX501727"/>
    <x v="8"/>
    <x v="1"/>
    <n v="47.7"/>
    <n v="95.4"/>
    <x v="63"/>
    <x v="60"/>
    <x v="1"/>
    <x v="0"/>
    <x v="2"/>
    <x v="0"/>
    <x v="10"/>
    <x v="5"/>
    <x v="9"/>
    <x v="1"/>
  </r>
  <r>
    <s v="TX501728"/>
    <x v="16"/>
    <x v="2"/>
    <n v="58.1"/>
    <n v="174.3"/>
    <x v="63"/>
    <x v="66"/>
    <x v="2"/>
    <x v="0"/>
    <x v="0"/>
    <x v="0"/>
    <x v="11"/>
    <x v="3"/>
    <x v="9"/>
    <x v="2"/>
  </r>
  <r>
    <s v="TX501729"/>
    <x v="12"/>
    <x v="12"/>
    <n v="66.599999999999994"/>
    <n v="266.39999999999998"/>
    <x v="63"/>
    <x v="66"/>
    <x v="0"/>
    <x v="0"/>
    <x v="0"/>
    <x v="0"/>
    <x v="11"/>
    <x v="3"/>
    <x v="9"/>
    <x v="0"/>
  </r>
  <r>
    <s v="TX501730"/>
    <x v="9"/>
    <x v="0"/>
    <n v="24.1"/>
    <n v="24.1"/>
    <x v="63"/>
    <x v="70"/>
    <x v="1"/>
    <x v="2"/>
    <x v="1"/>
    <x v="0"/>
    <x v="19"/>
    <x v="2"/>
    <x v="9"/>
    <x v="1"/>
  </r>
  <r>
    <s v="TX501731"/>
    <x v="10"/>
    <x v="9"/>
    <n v="51.5"/>
    <n v="257.5"/>
    <x v="63"/>
    <x v="65"/>
    <x v="2"/>
    <x v="0"/>
    <x v="0"/>
    <x v="0"/>
    <x v="13"/>
    <x v="0"/>
    <x v="9"/>
    <x v="2"/>
  </r>
  <r>
    <s v="TX501732"/>
    <x v="0"/>
    <x v="5"/>
    <n v="25.8"/>
    <n v="283.8"/>
    <x v="63"/>
    <x v="60"/>
    <x v="2"/>
    <x v="3"/>
    <x v="4"/>
    <x v="0"/>
    <x v="21"/>
    <x v="5"/>
    <x v="9"/>
    <x v="2"/>
  </r>
  <r>
    <s v="TX501733"/>
    <x v="9"/>
    <x v="12"/>
    <n v="47.7"/>
    <n v="190.8"/>
    <x v="63"/>
    <x v="63"/>
    <x v="2"/>
    <x v="0"/>
    <x v="1"/>
    <x v="0"/>
    <x v="21"/>
    <x v="7"/>
    <x v="9"/>
    <x v="2"/>
  </r>
  <r>
    <s v="TX501734"/>
    <x v="7"/>
    <x v="9"/>
    <n v="73.599999999999994"/>
    <n v="368"/>
    <x v="63"/>
    <x v="60"/>
    <x v="1"/>
    <x v="1"/>
    <x v="0"/>
    <x v="0"/>
    <x v="21"/>
    <x v="5"/>
    <x v="9"/>
    <x v="1"/>
  </r>
  <r>
    <s v="TX501735"/>
    <x v="5"/>
    <x v="3"/>
    <n v="91.2"/>
    <n v="638.4"/>
    <x v="63"/>
    <x v="66"/>
    <x v="1"/>
    <x v="1"/>
    <x v="2"/>
    <x v="0"/>
    <x v="21"/>
    <x v="3"/>
    <x v="9"/>
    <x v="1"/>
  </r>
  <r>
    <s v="TX501736"/>
    <x v="1"/>
    <x v="8"/>
    <n v="36.200000000000003"/>
    <n v="289.60000000000002"/>
    <x v="63"/>
    <x v="63"/>
    <x v="1"/>
    <x v="2"/>
    <x v="2"/>
    <x v="0"/>
    <x v="1"/>
    <x v="7"/>
    <x v="9"/>
    <x v="1"/>
  </r>
  <r>
    <s v="TX501737"/>
    <x v="9"/>
    <x v="8"/>
    <n v="98"/>
    <n v="784"/>
    <x v="63"/>
    <x v="60"/>
    <x v="2"/>
    <x v="2"/>
    <x v="0"/>
    <x v="0"/>
    <x v="2"/>
    <x v="5"/>
    <x v="9"/>
    <x v="2"/>
  </r>
  <r>
    <s v="TX501738"/>
    <x v="1"/>
    <x v="8"/>
    <n v="43.6"/>
    <n v="348.8"/>
    <x v="63"/>
    <x v="66"/>
    <x v="2"/>
    <x v="2"/>
    <x v="0"/>
    <x v="0"/>
    <x v="22"/>
    <x v="3"/>
    <x v="9"/>
    <x v="2"/>
  </r>
  <r>
    <s v="TX501739"/>
    <x v="8"/>
    <x v="7"/>
    <n v="37.799999999999997"/>
    <n v="378"/>
    <x v="63"/>
    <x v="63"/>
    <x v="3"/>
    <x v="0"/>
    <x v="0"/>
    <x v="0"/>
    <x v="50"/>
    <x v="7"/>
    <x v="9"/>
    <x v="3"/>
  </r>
  <r>
    <s v="TX501740"/>
    <x v="17"/>
    <x v="9"/>
    <n v="63.7"/>
    <n v="318.5"/>
    <x v="63"/>
    <x v="70"/>
    <x v="2"/>
    <x v="2"/>
    <x v="1"/>
    <x v="0"/>
    <x v="3"/>
    <x v="2"/>
    <x v="9"/>
    <x v="2"/>
  </r>
  <r>
    <s v="TX501741"/>
    <x v="5"/>
    <x v="11"/>
    <n v="62.9"/>
    <n v="566.1"/>
    <x v="63"/>
    <x v="65"/>
    <x v="1"/>
    <x v="3"/>
    <x v="2"/>
    <x v="0"/>
    <x v="3"/>
    <x v="0"/>
    <x v="9"/>
    <x v="1"/>
  </r>
  <r>
    <s v="TX501742"/>
    <x v="6"/>
    <x v="3"/>
    <n v="61.7"/>
    <n v="431.90000000000003"/>
    <x v="63"/>
    <x v="70"/>
    <x v="2"/>
    <x v="2"/>
    <x v="2"/>
    <x v="0"/>
    <x v="3"/>
    <x v="2"/>
    <x v="9"/>
    <x v="2"/>
  </r>
  <r>
    <s v="TX501743"/>
    <x v="18"/>
    <x v="21"/>
    <n v="36.5"/>
    <n v="511"/>
    <x v="63"/>
    <x v="66"/>
    <x v="1"/>
    <x v="0"/>
    <x v="2"/>
    <x v="0"/>
    <x v="3"/>
    <x v="3"/>
    <x v="9"/>
    <x v="1"/>
  </r>
  <r>
    <s v="TX501744"/>
    <x v="11"/>
    <x v="2"/>
    <n v="98.6"/>
    <n v="295.79999999999995"/>
    <x v="63"/>
    <x v="70"/>
    <x v="3"/>
    <x v="0"/>
    <x v="4"/>
    <x v="0"/>
    <x v="3"/>
    <x v="2"/>
    <x v="9"/>
    <x v="3"/>
  </r>
  <r>
    <s v="TX501745"/>
    <x v="8"/>
    <x v="1"/>
    <n v="19.2"/>
    <n v="38.4"/>
    <x v="63"/>
    <x v="72"/>
    <x v="1"/>
    <x v="0"/>
    <x v="0"/>
    <x v="0"/>
    <x v="3"/>
    <x v="14"/>
    <x v="9"/>
    <x v="1"/>
  </r>
  <r>
    <s v="TX501746"/>
    <x v="3"/>
    <x v="13"/>
    <n v="55.6"/>
    <n v="333.6"/>
    <x v="63"/>
    <x v="60"/>
    <x v="2"/>
    <x v="0"/>
    <x v="2"/>
    <x v="0"/>
    <x v="3"/>
    <x v="5"/>
    <x v="9"/>
    <x v="2"/>
  </r>
  <r>
    <s v="TX501747"/>
    <x v="5"/>
    <x v="13"/>
    <n v="56.4"/>
    <n v="338.4"/>
    <x v="63"/>
    <x v="66"/>
    <x v="2"/>
    <x v="1"/>
    <x v="0"/>
    <x v="0"/>
    <x v="3"/>
    <x v="3"/>
    <x v="9"/>
    <x v="2"/>
  </r>
  <r>
    <s v="TX501748"/>
    <x v="4"/>
    <x v="8"/>
    <n v="43.1"/>
    <n v="344.8"/>
    <x v="63"/>
    <x v="60"/>
    <x v="2"/>
    <x v="4"/>
    <x v="0"/>
    <x v="0"/>
    <x v="3"/>
    <x v="5"/>
    <x v="9"/>
    <x v="2"/>
  </r>
  <r>
    <s v="TX501749"/>
    <x v="1"/>
    <x v="1"/>
    <n v="77.3"/>
    <n v="154.6"/>
    <x v="63"/>
    <x v="68"/>
    <x v="1"/>
    <x v="0"/>
    <x v="0"/>
    <x v="0"/>
    <x v="6"/>
    <x v="1"/>
    <x v="9"/>
    <x v="1"/>
  </r>
  <r>
    <s v="TX501750"/>
    <x v="9"/>
    <x v="8"/>
    <n v="38.299999999999997"/>
    <n v="306.39999999999998"/>
    <x v="63"/>
    <x v="66"/>
    <x v="1"/>
    <x v="0"/>
    <x v="0"/>
    <x v="0"/>
    <x v="7"/>
    <x v="3"/>
    <x v="9"/>
    <x v="1"/>
  </r>
  <r>
    <s v="TX501751"/>
    <x v="0"/>
    <x v="3"/>
    <n v="16.8"/>
    <n v="117.60000000000001"/>
    <x v="63"/>
    <x v="70"/>
    <x v="1"/>
    <x v="2"/>
    <x v="1"/>
    <x v="0"/>
    <x v="8"/>
    <x v="2"/>
    <x v="9"/>
    <x v="1"/>
  </r>
  <r>
    <s v="TX501752"/>
    <x v="2"/>
    <x v="2"/>
    <n v="63.2"/>
    <n v="189.60000000000002"/>
    <x v="63"/>
    <x v="66"/>
    <x v="2"/>
    <x v="0"/>
    <x v="2"/>
    <x v="0"/>
    <x v="8"/>
    <x v="3"/>
    <x v="9"/>
    <x v="2"/>
  </r>
  <r>
    <s v="TX501753"/>
    <x v="14"/>
    <x v="44"/>
    <n v="39.700000000000003"/>
    <n v="913.1"/>
    <x v="63"/>
    <x v="66"/>
    <x v="1"/>
    <x v="0"/>
    <x v="0"/>
    <x v="0"/>
    <x v="8"/>
    <x v="3"/>
    <x v="9"/>
    <x v="1"/>
  </r>
  <r>
    <s v="TX501754"/>
    <x v="10"/>
    <x v="2"/>
    <n v="45.8"/>
    <n v="137.39999999999998"/>
    <x v="63"/>
    <x v="66"/>
    <x v="2"/>
    <x v="1"/>
    <x v="2"/>
    <x v="0"/>
    <x v="8"/>
    <x v="3"/>
    <x v="9"/>
    <x v="2"/>
  </r>
  <r>
    <s v="TX501755"/>
    <x v="0"/>
    <x v="13"/>
    <n v="12.4"/>
    <n v="74.400000000000006"/>
    <x v="63"/>
    <x v="70"/>
    <x v="1"/>
    <x v="0"/>
    <x v="0"/>
    <x v="0"/>
    <x v="8"/>
    <x v="2"/>
    <x v="9"/>
    <x v="1"/>
  </r>
  <r>
    <s v="TX501756"/>
    <x v="14"/>
    <x v="2"/>
    <n v="50.8"/>
    <n v="152.39999999999998"/>
    <x v="64"/>
    <x v="66"/>
    <x v="2"/>
    <x v="4"/>
    <x v="0"/>
    <x v="0"/>
    <x v="17"/>
    <x v="7"/>
    <x v="9"/>
    <x v="2"/>
  </r>
  <r>
    <s v="TX501757"/>
    <x v="9"/>
    <x v="0"/>
    <n v="76"/>
    <n v="76"/>
    <x v="64"/>
    <x v="65"/>
    <x v="3"/>
    <x v="2"/>
    <x v="2"/>
    <x v="0"/>
    <x v="17"/>
    <x v="5"/>
    <x v="9"/>
    <x v="3"/>
  </r>
  <r>
    <s v="TX501758"/>
    <x v="1"/>
    <x v="1"/>
    <n v="51.9"/>
    <n v="103.8"/>
    <x v="64"/>
    <x v="68"/>
    <x v="1"/>
    <x v="1"/>
    <x v="2"/>
    <x v="0"/>
    <x v="26"/>
    <x v="3"/>
    <x v="9"/>
    <x v="1"/>
  </r>
  <r>
    <s v="TX501759"/>
    <x v="2"/>
    <x v="1"/>
    <n v="93.4"/>
    <n v="186.8"/>
    <x v="64"/>
    <x v="64"/>
    <x v="1"/>
    <x v="0"/>
    <x v="3"/>
    <x v="0"/>
    <x v="11"/>
    <x v="6"/>
    <x v="9"/>
    <x v="1"/>
  </r>
  <r>
    <s v="TX501760"/>
    <x v="7"/>
    <x v="13"/>
    <n v="30.8"/>
    <n v="184.8"/>
    <x v="64"/>
    <x v="60"/>
    <x v="2"/>
    <x v="1"/>
    <x v="0"/>
    <x v="0"/>
    <x v="11"/>
    <x v="2"/>
    <x v="9"/>
    <x v="2"/>
  </r>
  <r>
    <s v="TX501761"/>
    <x v="2"/>
    <x v="0"/>
    <n v="143.19999999999999"/>
    <n v="143.19999999999999"/>
    <x v="64"/>
    <x v="60"/>
    <x v="1"/>
    <x v="2"/>
    <x v="0"/>
    <x v="0"/>
    <x v="11"/>
    <x v="2"/>
    <x v="9"/>
    <x v="1"/>
  </r>
  <r>
    <s v="TX501762"/>
    <x v="6"/>
    <x v="5"/>
    <n v="40.4"/>
    <n v="444.4"/>
    <x v="64"/>
    <x v="70"/>
    <x v="1"/>
    <x v="2"/>
    <x v="2"/>
    <x v="0"/>
    <x v="18"/>
    <x v="1"/>
    <x v="9"/>
    <x v="1"/>
  </r>
  <r>
    <s v="TX501763"/>
    <x v="2"/>
    <x v="10"/>
    <n v="131.5"/>
    <n v="2498.5"/>
    <x v="64"/>
    <x v="70"/>
    <x v="1"/>
    <x v="1"/>
    <x v="1"/>
    <x v="0"/>
    <x v="18"/>
    <x v="1"/>
    <x v="9"/>
    <x v="1"/>
  </r>
  <r>
    <s v="TX501764"/>
    <x v="18"/>
    <x v="3"/>
    <n v="61.6"/>
    <n v="431.2"/>
    <x v="64"/>
    <x v="68"/>
    <x v="1"/>
    <x v="2"/>
    <x v="0"/>
    <x v="0"/>
    <x v="21"/>
    <x v="3"/>
    <x v="9"/>
    <x v="1"/>
  </r>
  <r>
    <s v="TX501765"/>
    <x v="9"/>
    <x v="9"/>
    <n v="32.700000000000003"/>
    <n v="163.5"/>
    <x v="64"/>
    <x v="70"/>
    <x v="1"/>
    <x v="2"/>
    <x v="0"/>
    <x v="0"/>
    <x v="1"/>
    <x v="1"/>
    <x v="9"/>
    <x v="1"/>
  </r>
  <r>
    <s v="TX501766"/>
    <x v="0"/>
    <x v="7"/>
    <n v="13.7"/>
    <n v="137"/>
    <x v="64"/>
    <x v="68"/>
    <x v="1"/>
    <x v="0"/>
    <x v="2"/>
    <x v="0"/>
    <x v="3"/>
    <x v="3"/>
    <x v="9"/>
    <x v="1"/>
  </r>
  <r>
    <s v="TX501767"/>
    <x v="0"/>
    <x v="12"/>
    <n v="32.1"/>
    <n v="128.4"/>
    <x v="64"/>
    <x v="68"/>
    <x v="1"/>
    <x v="4"/>
    <x v="1"/>
    <x v="0"/>
    <x v="3"/>
    <x v="3"/>
    <x v="9"/>
    <x v="1"/>
  </r>
  <r>
    <s v="TX501768"/>
    <x v="14"/>
    <x v="8"/>
    <n v="12"/>
    <n v="96"/>
    <x v="64"/>
    <x v="68"/>
    <x v="1"/>
    <x v="1"/>
    <x v="0"/>
    <x v="0"/>
    <x v="24"/>
    <x v="3"/>
    <x v="9"/>
    <x v="1"/>
  </r>
  <r>
    <s v="TX501769"/>
    <x v="12"/>
    <x v="0"/>
    <n v="64.3"/>
    <n v="64.3"/>
    <x v="64"/>
    <x v="70"/>
    <x v="2"/>
    <x v="2"/>
    <x v="2"/>
    <x v="0"/>
    <x v="6"/>
    <x v="1"/>
    <x v="9"/>
    <x v="2"/>
  </r>
  <r>
    <s v="TX501770"/>
    <x v="1"/>
    <x v="2"/>
    <n v="58.2"/>
    <n v="174.60000000000002"/>
    <x v="64"/>
    <x v="70"/>
    <x v="2"/>
    <x v="1"/>
    <x v="2"/>
    <x v="0"/>
    <x v="6"/>
    <x v="1"/>
    <x v="9"/>
    <x v="2"/>
  </r>
  <r>
    <s v="TX501771"/>
    <x v="6"/>
    <x v="12"/>
    <n v="59.2"/>
    <n v="236.8"/>
    <x v="64"/>
    <x v="66"/>
    <x v="1"/>
    <x v="1"/>
    <x v="2"/>
    <x v="0"/>
    <x v="6"/>
    <x v="7"/>
    <x v="9"/>
    <x v="1"/>
  </r>
  <r>
    <s v="TX501772"/>
    <x v="10"/>
    <x v="5"/>
    <n v="35.6"/>
    <n v="391.6"/>
    <x v="64"/>
    <x v="64"/>
    <x v="1"/>
    <x v="0"/>
    <x v="2"/>
    <x v="0"/>
    <x v="8"/>
    <x v="6"/>
    <x v="9"/>
    <x v="1"/>
  </r>
  <r>
    <s v="TX501773"/>
    <x v="16"/>
    <x v="8"/>
    <n v="37"/>
    <n v="296"/>
    <x v="64"/>
    <x v="65"/>
    <x v="2"/>
    <x v="2"/>
    <x v="1"/>
    <x v="0"/>
    <x v="8"/>
    <x v="5"/>
    <x v="9"/>
    <x v="2"/>
  </r>
  <r>
    <s v="TX501774"/>
    <x v="1"/>
    <x v="15"/>
    <n v="80.8"/>
    <n v="1050.3999999999999"/>
    <x v="64"/>
    <x v="70"/>
    <x v="2"/>
    <x v="0"/>
    <x v="0"/>
    <x v="0"/>
    <x v="8"/>
    <x v="1"/>
    <x v="9"/>
    <x v="2"/>
  </r>
  <r>
    <s v="TX501775"/>
    <x v="8"/>
    <x v="1"/>
    <n v="63.2"/>
    <n v="126.4"/>
    <x v="64"/>
    <x v="68"/>
    <x v="1"/>
    <x v="0"/>
    <x v="1"/>
    <x v="0"/>
    <x v="8"/>
    <x v="3"/>
    <x v="9"/>
    <x v="1"/>
  </r>
  <r>
    <s v="TX501776"/>
    <x v="3"/>
    <x v="1"/>
    <n v="40.799999999999997"/>
    <n v="81.599999999999994"/>
    <x v="64"/>
    <x v="70"/>
    <x v="1"/>
    <x v="0"/>
    <x v="1"/>
    <x v="0"/>
    <x v="17"/>
    <x v="1"/>
    <x v="9"/>
    <x v="1"/>
  </r>
  <r>
    <s v="TX501777"/>
    <x v="13"/>
    <x v="13"/>
    <n v="25.7"/>
    <n v="154.19999999999999"/>
    <x v="64"/>
    <x v="70"/>
    <x v="1"/>
    <x v="4"/>
    <x v="0"/>
    <x v="0"/>
    <x v="18"/>
    <x v="1"/>
    <x v="9"/>
    <x v="1"/>
  </r>
  <r>
    <s v="TX501778"/>
    <x v="16"/>
    <x v="1"/>
    <n v="49.9"/>
    <n v="99.8"/>
    <x v="64"/>
    <x v="60"/>
    <x v="1"/>
    <x v="0"/>
    <x v="0"/>
    <x v="0"/>
    <x v="20"/>
    <x v="2"/>
    <x v="9"/>
    <x v="1"/>
  </r>
  <r>
    <s v="TX501779"/>
    <x v="8"/>
    <x v="1"/>
    <n v="20.2"/>
    <n v="40.4"/>
    <x v="64"/>
    <x v="70"/>
    <x v="2"/>
    <x v="3"/>
    <x v="0"/>
    <x v="0"/>
    <x v="21"/>
    <x v="1"/>
    <x v="9"/>
    <x v="2"/>
  </r>
  <r>
    <s v="TX501780"/>
    <x v="6"/>
    <x v="2"/>
    <n v="48.4"/>
    <n v="145.19999999999999"/>
    <x v="64"/>
    <x v="71"/>
    <x v="2"/>
    <x v="0"/>
    <x v="2"/>
    <x v="0"/>
    <x v="21"/>
    <x v="0"/>
    <x v="9"/>
    <x v="2"/>
  </r>
  <r>
    <s v="TX501781"/>
    <x v="6"/>
    <x v="1"/>
    <n v="81"/>
    <n v="162"/>
    <x v="64"/>
    <x v="68"/>
    <x v="2"/>
    <x v="1"/>
    <x v="2"/>
    <x v="0"/>
    <x v="21"/>
    <x v="3"/>
    <x v="9"/>
    <x v="2"/>
  </r>
  <r>
    <s v="TX501782"/>
    <x v="8"/>
    <x v="13"/>
    <n v="19.899999999999999"/>
    <n v="119.39999999999999"/>
    <x v="64"/>
    <x v="60"/>
    <x v="2"/>
    <x v="0"/>
    <x v="1"/>
    <x v="0"/>
    <x v="22"/>
    <x v="2"/>
    <x v="9"/>
    <x v="2"/>
  </r>
  <r>
    <s v="TX501783"/>
    <x v="4"/>
    <x v="12"/>
    <n v="32.200000000000003"/>
    <n v="128.80000000000001"/>
    <x v="64"/>
    <x v="69"/>
    <x v="1"/>
    <x v="0"/>
    <x v="0"/>
    <x v="0"/>
    <x v="22"/>
    <x v="14"/>
    <x v="9"/>
    <x v="1"/>
  </r>
  <r>
    <s v="TX501784"/>
    <x v="5"/>
    <x v="2"/>
    <n v="76.8"/>
    <n v="230.39999999999998"/>
    <x v="64"/>
    <x v="68"/>
    <x v="2"/>
    <x v="0"/>
    <x v="1"/>
    <x v="0"/>
    <x v="3"/>
    <x v="3"/>
    <x v="9"/>
    <x v="2"/>
  </r>
  <r>
    <s v="TX501785"/>
    <x v="6"/>
    <x v="1"/>
    <n v="41.9"/>
    <n v="83.8"/>
    <x v="64"/>
    <x v="70"/>
    <x v="2"/>
    <x v="0"/>
    <x v="0"/>
    <x v="0"/>
    <x v="3"/>
    <x v="1"/>
    <x v="9"/>
    <x v="2"/>
  </r>
  <r>
    <s v="TX501786"/>
    <x v="0"/>
    <x v="3"/>
    <n v="34"/>
    <n v="238"/>
    <x v="64"/>
    <x v="70"/>
    <x v="2"/>
    <x v="1"/>
    <x v="2"/>
    <x v="0"/>
    <x v="3"/>
    <x v="1"/>
    <x v="9"/>
    <x v="2"/>
  </r>
  <r>
    <s v="TX501787"/>
    <x v="7"/>
    <x v="3"/>
    <n v="61.3"/>
    <n v="429.09999999999997"/>
    <x v="64"/>
    <x v="66"/>
    <x v="2"/>
    <x v="4"/>
    <x v="2"/>
    <x v="0"/>
    <x v="3"/>
    <x v="7"/>
    <x v="9"/>
    <x v="2"/>
  </r>
  <r>
    <s v="TX501788"/>
    <x v="9"/>
    <x v="0"/>
    <n v="54.7"/>
    <n v="54.7"/>
    <x v="65"/>
    <x v="70"/>
    <x v="1"/>
    <x v="0"/>
    <x v="1"/>
    <x v="0"/>
    <x v="3"/>
    <x v="3"/>
    <x v="9"/>
    <x v="1"/>
  </r>
  <r>
    <s v="TX501789"/>
    <x v="6"/>
    <x v="7"/>
    <n v="84.7"/>
    <n v="847"/>
    <x v="65"/>
    <x v="71"/>
    <x v="2"/>
    <x v="0"/>
    <x v="0"/>
    <x v="0"/>
    <x v="3"/>
    <x v="5"/>
    <x v="9"/>
    <x v="2"/>
  </r>
  <r>
    <s v="TX501790"/>
    <x v="1"/>
    <x v="2"/>
    <n v="93.4"/>
    <n v="280.20000000000005"/>
    <x v="65"/>
    <x v="71"/>
    <x v="2"/>
    <x v="3"/>
    <x v="0"/>
    <x v="0"/>
    <x v="3"/>
    <x v="5"/>
    <x v="9"/>
    <x v="2"/>
  </r>
  <r>
    <s v="TX501791"/>
    <x v="8"/>
    <x v="9"/>
    <n v="27"/>
    <n v="135"/>
    <x v="65"/>
    <x v="65"/>
    <x v="1"/>
    <x v="0"/>
    <x v="1"/>
    <x v="0"/>
    <x v="3"/>
    <x v="2"/>
    <x v="9"/>
    <x v="1"/>
  </r>
  <r>
    <s v="TX501792"/>
    <x v="0"/>
    <x v="12"/>
    <n v="10.9"/>
    <n v="43.6"/>
    <x v="65"/>
    <x v="70"/>
    <x v="1"/>
    <x v="2"/>
    <x v="0"/>
    <x v="0"/>
    <x v="3"/>
    <x v="3"/>
    <x v="9"/>
    <x v="1"/>
  </r>
  <r>
    <s v="TX501793"/>
    <x v="16"/>
    <x v="2"/>
    <n v="48"/>
    <n v="144"/>
    <x v="65"/>
    <x v="74"/>
    <x v="2"/>
    <x v="4"/>
    <x v="0"/>
    <x v="0"/>
    <x v="3"/>
    <x v="0"/>
    <x v="9"/>
    <x v="2"/>
  </r>
  <r>
    <s v="TX501794"/>
    <x v="5"/>
    <x v="1"/>
    <n v="67.900000000000006"/>
    <n v="135.80000000000001"/>
    <x v="65"/>
    <x v="70"/>
    <x v="1"/>
    <x v="0"/>
    <x v="2"/>
    <x v="0"/>
    <x v="23"/>
    <x v="3"/>
    <x v="9"/>
    <x v="1"/>
  </r>
  <r>
    <s v="TX501795"/>
    <x v="4"/>
    <x v="2"/>
    <n v="36"/>
    <n v="108"/>
    <x v="65"/>
    <x v="70"/>
    <x v="1"/>
    <x v="1"/>
    <x v="0"/>
    <x v="0"/>
    <x v="6"/>
    <x v="3"/>
    <x v="9"/>
    <x v="1"/>
  </r>
  <r>
    <s v="TX501796"/>
    <x v="2"/>
    <x v="0"/>
    <n v="128.80000000000001"/>
    <n v="128.80000000000001"/>
    <x v="65"/>
    <x v="70"/>
    <x v="1"/>
    <x v="4"/>
    <x v="2"/>
    <x v="0"/>
    <x v="6"/>
    <x v="3"/>
    <x v="9"/>
    <x v="1"/>
  </r>
  <r>
    <s v="TX501797"/>
    <x v="18"/>
    <x v="3"/>
    <n v="33.299999999999997"/>
    <n v="233.09999999999997"/>
    <x v="65"/>
    <x v="70"/>
    <x v="2"/>
    <x v="3"/>
    <x v="0"/>
    <x v="0"/>
    <x v="8"/>
    <x v="3"/>
    <x v="9"/>
    <x v="2"/>
  </r>
  <r>
    <s v="TX501798"/>
    <x v="10"/>
    <x v="2"/>
    <n v="37.799999999999997"/>
    <n v="113.39999999999999"/>
    <x v="65"/>
    <x v="60"/>
    <x v="1"/>
    <x v="1"/>
    <x v="2"/>
    <x v="0"/>
    <x v="8"/>
    <x v="1"/>
    <x v="9"/>
    <x v="1"/>
  </r>
  <r>
    <s v="TX501799"/>
    <x v="5"/>
    <x v="2"/>
    <n v="26"/>
    <n v="78"/>
    <x v="65"/>
    <x v="74"/>
    <x v="2"/>
    <x v="0"/>
    <x v="0"/>
    <x v="0"/>
    <x v="8"/>
    <x v="0"/>
    <x v="9"/>
    <x v="2"/>
  </r>
  <r>
    <s v="TX501800"/>
    <x v="8"/>
    <x v="10"/>
    <n v="28.3"/>
    <n v="537.70000000000005"/>
    <x v="65"/>
    <x v="70"/>
    <x v="2"/>
    <x v="3"/>
    <x v="4"/>
    <x v="0"/>
    <x v="8"/>
    <x v="3"/>
    <x v="9"/>
    <x v="2"/>
  </r>
  <r>
    <s v="TX501801"/>
    <x v="8"/>
    <x v="12"/>
    <n v="31.3"/>
    <n v="125.2"/>
    <x v="65"/>
    <x v="68"/>
    <x v="2"/>
    <x v="0"/>
    <x v="0"/>
    <x v="0"/>
    <x v="8"/>
    <x v="7"/>
    <x v="9"/>
    <x v="2"/>
  </r>
  <r>
    <s v="TX501802"/>
    <x v="7"/>
    <x v="2"/>
    <n v="69.5"/>
    <n v="208.5"/>
    <x v="65"/>
    <x v="70"/>
    <x v="2"/>
    <x v="3"/>
    <x v="2"/>
    <x v="0"/>
    <x v="8"/>
    <x v="3"/>
    <x v="9"/>
    <x v="2"/>
  </r>
  <r>
    <s v="TX501803"/>
    <x v="0"/>
    <x v="1"/>
    <n v="16.7"/>
    <n v="33.4"/>
    <x v="65"/>
    <x v="70"/>
    <x v="2"/>
    <x v="3"/>
    <x v="1"/>
    <x v="0"/>
    <x v="8"/>
    <x v="3"/>
    <x v="9"/>
    <x v="2"/>
  </r>
  <r>
    <s v="TX501804"/>
    <x v="9"/>
    <x v="1"/>
    <n v="62.6"/>
    <n v="125.2"/>
    <x v="65"/>
    <x v="70"/>
    <x v="1"/>
    <x v="2"/>
    <x v="2"/>
    <x v="0"/>
    <x v="9"/>
    <x v="3"/>
    <x v="9"/>
    <x v="1"/>
  </r>
  <r>
    <s v="TX501805"/>
    <x v="7"/>
    <x v="0"/>
    <n v="81.2"/>
    <n v="81.2"/>
    <x v="65"/>
    <x v="64"/>
    <x v="1"/>
    <x v="4"/>
    <x v="4"/>
    <x v="0"/>
    <x v="9"/>
    <x v="4"/>
    <x v="9"/>
    <x v="1"/>
  </r>
  <r>
    <s v="TX501806"/>
    <x v="0"/>
    <x v="7"/>
    <n v="12.7"/>
    <n v="127"/>
    <x v="65"/>
    <x v="70"/>
    <x v="2"/>
    <x v="0"/>
    <x v="2"/>
    <x v="0"/>
    <x v="9"/>
    <x v="3"/>
    <x v="9"/>
    <x v="2"/>
  </r>
  <r>
    <s v="TX501807"/>
    <x v="7"/>
    <x v="12"/>
    <n v="77.7"/>
    <n v="310.8"/>
    <x v="66"/>
    <x v="74"/>
    <x v="1"/>
    <x v="1"/>
    <x v="0"/>
    <x v="0"/>
    <x v="11"/>
    <x v="5"/>
    <x v="9"/>
    <x v="1"/>
  </r>
  <r>
    <s v="TX501808"/>
    <x v="5"/>
    <x v="1"/>
    <n v="37.299999999999997"/>
    <n v="74.599999999999994"/>
    <x v="66"/>
    <x v="60"/>
    <x v="2"/>
    <x v="0"/>
    <x v="2"/>
    <x v="0"/>
    <x v="18"/>
    <x v="3"/>
    <x v="9"/>
    <x v="2"/>
  </r>
  <r>
    <s v="TX501809"/>
    <x v="10"/>
    <x v="12"/>
    <n v="35.6"/>
    <n v="142.4"/>
    <x v="66"/>
    <x v="65"/>
    <x v="2"/>
    <x v="1"/>
    <x v="1"/>
    <x v="0"/>
    <x v="19"/>
    <x v="1"/>
    <x v="9"/>
    <x v="2"/>
  </r>
  <r>
    <s v="TX501810"/>
    <x v="2"/>
    <x v="2"/>
    <n v="95"/>
    <n v="285"/>
    <x v="66"/>
    <x v="74"/>
    <x v="2"/>
    <x v="2"/>
    <x v="2"/>
    <x v="0"/>
    <x v="56"/>
    <x v="5"/>
    <x v="9"/>
    <x v="2"/>
  </r>
  <r>
    <s v="TX501811"/>
    <x v="2"/>
    <x v="12"/>
    <n v="172.1"/>
    <n v="688.4"/>
    <x v="66"/>
    <x v="74"/>
    <x v="3"/>
    <x v="2"/>
    <x v="2"/>
    <x v="0"/>
    <x v="21"/>
    <x v="5"/>
    <x v="9"/>
    <x v="3"/>
  </r>
  <r>
    <s v="TX501812"/>
    <x v="2"/>
    <x v="1"/>
    <n v="233"/>
    <n v="466"/>
    <x v="66"/>
    <x v="71"/>
    <x v="2"/>
    <x v="1"/>
    <x v="0"/>
    <x v="0"/>
    <x v="21"/>
    <x v="2"/>
    <x v="9"/>
    <x v="2"/>
  </r>
  <r>
    <s v="TX501813"/>
    <x v="0"/>
    <x v="0"/>
    <n v="43.5"/>
    <n v="43.5"/>
    <x v="66"/>
    <x v="60"/>
    <x v="2"/>
    <x v="2"/>
    <x v="2"/>
    <x v="0"/>
    <x v="21"/>
    <x v="3"/>
    <x v="9"/>
    <x v="2"/>
  </r>
  <r>
    <s v="TX501814"/>
    <x v="9"/>
    <x v="1"/>
    <n v="47.8"/>
    <n v="95.6"/>
    <x v="66"/>
    <x v="71"/>
    <x v="1"/>
    <x v="4"/>
    <x v="2"/>
    <x v="0"/>
    <x v="1"/>
    <x v="2"/>
    <x v="9"/>
    <x v="1"/>
  </r>
  <r>
    <s v="TX501815"/>
    <x v="12"/>
    <x v="1"/>
    <n v="65.8"/>
    <n v="131.6"/>
    <x v="66"/>
    <x v="65"/>
    <x v="2"/>
    <x v="0"/>
    <x v="3"/>
    <x v="0"/>
    <x v="33"/>
    <x v="1"/>
    <x v="9"/>
    <x v="2"/>
  </r>
  <r>
    <s v="TX501816"/>
    <x v="15"/>
    <x v="5"/>
    <n v="38.700000000000003"/>
    <n v="425.70000000000005"/>
    <x v="66"/>
    <x v="70"/>
    <x v="1"/>
    <x v="0"/>
    <x v="0"/>
    <x v="0"/>
    <x v="22"/>
    <x v="7"/>
    <x v="9"/>
    <x v="1"/>
  </r>
  <r>
    <s v="TX501817"/>
    <x v="3"/>
    <x v="12"/>
    <n v="55.7"/>
    <n v="222.8"/>
    <x v="66"/>
    <x v="65"/>
    <x v="3"/>
    <x v="0"/>
    <x v="1"/>
    <x v="0"/>
    <x v="22"/>
    <x v="1"/>
    <x v="9"/>
    <x v="3"/>
  </r>
  <r>
    <s v="TX501818"/>
    <x v="7"/>
    <x v="1"/>
    <n v="102.4"/>
    <n v="204.8"/>
    <x v="66"/>
    <x v="70"/>
    <x v="2"/>
    <x v="1"/>
    <x v="0"/>
    <x v="0"/>
    <x v="3"/>
    <x v="7"/>
    <x v="9"/>
    <x v="2"/>
  </r>
  <r>
    <s v="TX501819"/>
    <x v="1"/>
    <x v="0"/>
    <n v="92"/>
    <n v="92"/>
    <x v="66"/>
    <x v="74"/>
    <x v="0"/>
    <x v="2"/>
    <x v="0"/>
    <x v="0"/>
    <x v="3"/>
    <x v="5"/>
    <x v="9"/>
    <x v="0"/>
  </r>
  <r>
    <s v="TX501820"/>
    <x v="6"/>
    <x v="12"/>
    <n v="75.900000000000006"/>
    <n v="303.60000000000002"/>
    <x v="66"/>
    <x v="65"/>
    <x v="2"/>
    <x v="1"/>
    <x v="0"/>
    <x v="0"/>
    <x v="3"/>
    <x v="1"/>
    <x v="9"/>
    <x v="2"/>
  </r>
  <r>
    <s v="TX501821"/>
    <x v="1"/>
    <x v="12"/>
    <n v="36.200000000000003"/>
    <n v="144.80000000000001"/>
    <x v="66"/>
    <x v="60"/>
    <x v="2"/>
    <x v="1"/>
    <x v="0"/>
    <x v="0"/>
    <x v="3"/>
    <x v="3"/>
    <x v="9"/>
    <x v="2"/>
  </r>
  <r>
    <s v="TX501822"/>
    <x v="6"/>
    <x v="45"/>
    <n v="83.5"/>
    <n v="7264.5"/>
    <x v="66"/>
    <x v="65"/>
    <x v="0"/>
    <x v="3"/>
    <x v="0"/>
    <x v="0"/>
    <x v="3"/>
    <x v="1"/>
    <x v="9"/>
    <x v="0"/>
  </r>
  <r>
    <s v="TX501823"/>
    <x v="19"/>
    <x v="4"/>
    <n v="52.4"/>
    <n v="628.79999999999995"/>
    <x v="66"/>
    <x v="70"/>
    <x v="1"/>
    <x v="2"/>
    <x v="0"/>
    <x v="0"/>
    <x v="3"/>
    <x v="7"/>
    <x v="9"/>
    <x v="1"/>
  </r>
  <r>
    <s v="TX501824"/>
    <x v="12"/>
    <x v="2"/>
    <n v="69.5"/>
    <n v="208.5"/>
    <x v="66"/>
    <x v="60"/>
    <x v="3"/>
    <x v="4"/>
    <x v="0"/>
    <x v="0"/>
    <x v="3"/>
    <x v="3"/>
    <x v="9"/>
    <x v="3"/>
  </r>
  <r>
    <s v="TX501825"/>
    <x v="0"/>
    <x v="0"/>
    <n v="15.5"/>
    <n v="15.5"/>
    <x v="66"/>
    <x v="65"/>
    <x v="1"/>
    <x v="0"/>
    <x v="0"/>
    <x v="0"/>
    <x v="3"/>
    <x v="1"/>
    <x v="9"/>
    <x v="1"/>
  </r>
  <r>
    <s v="TX501826"/>
    <x v="4"/>
    <x v="12"/>
    <n v="35.200000000000003"/>
    <n v="140.80000000000001"/>
    <x v="66"/>
    <x v="60"/>
    <x v="2"/>
    <x v="2"/>
    <x v="2"/>
    <x v="0"/>
    <x v="3"/>
    <x v="3"/>
    <x v="9"/>
    <x v="2"/>
  </r>
  <r>
    <s v="TX501827"/>
    <x v="8"/>
    <x v="13"/>
    <n v="34.6"/>
    <n v="207.60000000000002"/>
    <x v="66"/>
    <x v="60"/>
    <x v="0"/>
    <x v="0"/>
    <x v="1"/>
    <x v="0"/>
    <x v="3"/>
    <x v="3"/>
    <x v="9"/>
    <x v="0"/>
  </r>
  <r>
    <s v="TX501828"/>
    <x v="4"/>
    <x v="0"/>
    <n v="21.3"/>
    <n v="21.3"/>
    <x v="67"/>
    <x v="65"/>
    <x v="1"/>
    <x v="2"/>
    <x v="1"/>
    <x v="0"/>
    <x v="3"/>
    <x v="3"/>
    <x v="10"/>
    <x v="1"/>
  </r>
  <r>
    <s v="TX501829"/>
    <x v="6"/>
    <x v="1"/>
    <n v="136.5"/>
    <n v="273"/>
    <x v="67"/>
    <x v="72"/>
    <x v="2"/>
    <x v="0"/>
    <x v="0"/>
    <x v="0"/>
    <x v="37"/>
    <x v="4"/>
    <x v="10"/>
    <x v="2"/>
  </r>
  <r>
    <s v="TX501830"/>
    <x v="9"/>
    <x v="3"/>
    <n v="30.7"/>
    <n v="214.9"/>
    <x v="67"/>
    <x v="65"/>
    <x v="1"/>
    <x v="2"/>
    <x v="2"/>
    <x v="0"/>
    <x v="25"/>
    <x v="3"/>
    <x v="10"/>
    <x v="1"/>
  </r>
  <r>
    <s v="TX501831"/>
    <x v="1"/>
    <x v="1"/>
    <n v="61.6"/>
    <n v="123.2"/>
    <x v="67"/>
    <x v="65"/>
    <x v="2"/>
    <x v="2"/>
    <x v="2"/>
    <x v="0"/>
    <x v="23"/>
    <x v="3"/>
    <x v="10"/>
    <x v="2"/>
  </r>
  <r>
    <s v="TX501832"/>
    <x v="6"/>
    <x v="12"/>
    <n v="54.3"/>
    <n v="217.2"/>
    <x v="67"/>
    <x v="71"/>
    <x v="0"/>
    <x v="4"/>
    <x v="0"/>
    <x v="0"/>
    <x v="7"/>
    <x v="1"/>
    <x v="10"/>
    <x v="0"/>
  </r>
  <r>
    <s v="TX501833"/>
    <x v="1"/>
    <x v="1"/>
    <n v="44.1"/>
    <n v="88.2"/>
    <x v="67"/>
    <x v="75"/>
    <x v="2"/>
    <x v="0"/>
    <x v="2"/>
    <x v="0"/>
    <x v="8"/>
    <x v="13"/>
    <x v="10"/>
    <x v="2"/>
  </r>
  <r>
    <s v="TX501834"/>
    <x v="8"/>
    <x v="12"/>
    <n v="43.5"/>
    <n v="174"/>
    <x v="67"/>
    <x v="72"/>
    <x v="1"/>
    <x v="3"/>
    <x v="0"/>
    <x v="0"/>
    <x v="8"/>
    <x v="4"/>
    <x v="10"/>
    <x v="1"/>
  </r>
  <r>
    <s v="TX501835"/>
    <x v="8"/>
    <x v="2"/>
    <n v="48.2"/>
    <n v="144.60000000000002"/>
    <x v="67"/>
    <x v="64"/>
    <x v="1"/>
    <x v="3"/>
    <x v="1"/>
    <x v="0"/>
    <x v="8"/>
    <x v="5"/>
    <x v="10"/>
    <x v="1"/>
  </r>
  <r>
    <s v="TX501836"/>
    <x v="19"/>
    <x v="0"/>
    <n v="13.7"/>
    <n v="13.7"/>
    <x v="67"/>
    <x v="65"/>
    <x v="2"/>
    <x v="2"/>
    <x v="2"/>
    <x v="0"/>
    <x v="8"/>
    <x v="3"/>
    <x v="10"/>
    <x v="2"/>
  </r>
  <r>
    <s v="TX501837"/>
    <x v="2"/>
    <x v="1"/>
    <n v="110.5"/>
    <n v="221"/>
    <x v="67"/>
    <x v="65"/>
    <x v="2"/>
    <x v="0"/>
    <x v="1"/>
    <x v="0"/>
    <x v="8"/>
    <x v="3"/>
    <x v="10"/>
    <x v="2"/>
  </r>
  <r>
    <s v="TX501838"/>
    <x v="8"/>
    <x v="2"/>
    <n v="26"/>
    <n v="78"/>
    <x v="67"/>
    <x v="67"/>
    <x v="2"/>
    <x v="1"/>
    <x v="1"/>
    <x v="0"/>
    <x v="8"/>
    <x v="0"/>
    <x v="10"/>
    <x v="2"/>
  </r>
  <r>
    <s v="TX501839"/>
    <x v="2"/>
    <x v="7"/>
    <n v="140.69999999999999"/>
    <n v="1407"/>
    <x v="67"/>
    <x v="72"/>
    <x v="1"/>
    <x v="3"/>
    <x v="1"/>
    <x v="0"/>
    <x v="8"/>
    <x v="4"/>
    <x v="10"/>
    <x v="1"/>
  </r>
  <r>
    <s v="TX501840"/>
    <x v="17"/>
    <x v="1"/>
    <n v="41.7"/>
    <n v="83.4"/>
    <x v="67"/>
    <x v="76"/>
    <x v="2"/>
    <x v="0"/>
    <x v="4"/>
    <x v="0"/>
    <x v="8"/>
    <x v="9"/>
    <x v="10"/>
    <x v="2"/>
  </r>
  <r>
    <s v="TX501841"/>
    <x v="2"/>
    <x v="1"/>
    <n v="135.1"/>
    <n v="270.2"/>
    <x v="67"/>
    <x v="65"/>
    <x v="1"/>
    <x v="0"/>
    <x v="2"/>
    <x v="0"/>
    <x v="17"/>
    <x v="3"/>
    <x v="10"/>
    <x v="1"/>
  </r>
  <r>
    <s v="TX501842"/>
    <x v="12"/>
    <x v="32"/>
    <n v="95.5"/>
    <n v="2101"/>
    <x v="67"/>
    <x v="65"/>
    <x v="2"/>
    <x v="4"/>
    <x v="4"/>
    <x v="0"/>
    <x v="26"/>
    <x v="3"/>
    <x v="10"/>
    <x v="2"/>
  </r>
  <r>
    <s v="TX501843"/>
    <x v="15"/>
    <x v="0"/>
    <n v="25.5"/>
    <n v="25.5"/>
    <x v="67"/>
    <x v="74"/>
    <x v="0"/>
    <x v="2"/>
    <x v="2"/>
    <x v="0"/>
    <x v="11"/>
    <x v="2"/>
    <x v="10"/>
    <x v="0"/>
  </r>
  <r>
    <s v="TX501844"/>
    <x v="1"/>
    <x v="0"/>
    <n v="42.6"/>
    <n v="42.6"/>
    <x v="67"/>
    <x v="64"/>
    <x v="2"/>
    <x v="0"/>
    <x v="0"/>
    <x v="0"/>
    <x v="11"/>
    <x v="5"/>
    <x v="10"/>
    <x v="2"/>
  </r>
  <r>
    <s v="TX501845"/>
    <x v="8"/>
    <x v="20"/>
    <n v="32.4"/>
    <n v="486"/>
    <x v="67"/>
    <x v="65"/>
    <x v="1"/>
    <x v="1"/>
    <x v="1"/>
    <x v="0"/>
    <x v="11"/>
    <x v="3"/>
    <x v="10"/>
    <x v="1"/>
  </r>
  <r>
    <s v="TX501846"/>
    <x v="4"/>
    <x v="12"/>
    <n v="20.2"/>
    <n v="80.8"/>
    <x v="67"/>
    <x v="65"/>
    <x v="3"/>
    <x v="2"/>
    <x v="0"/>
    <x v="0"/>
    <x v="11"/>
    <x v="3"/>
    <x v="10"/>
    <x v="3"/>
  </r>
  <r>
    <s v="TX501847"/>
    <x v="16"/>
    <x v="2"/>
    <n v="52.5"/>
    <n v="157.5"/>
    <x v="67"/>
    <x v="67"/>
    <x v="2"/>
    <x v="4"/>
    <x v="0"/>
    <x v="0"/>
    <x v="18"/>
    <x v="0"/>
    <x v="10"/>
    <x v="2"/>
  </r>
  <r>
    <s v="TX501848"/>
    <x v="2"/>
    <x v="9"/>
    <n v="59.9"/>
    <n v="299.5"/>
    <x v="67"/>
    <x v="71"/>
    <x v="2"/>
    <x v="2"/>
    <x v="0"/>
    <x v="0"/>
    <x v="19"/>
    <x v="1"/>
    <x v="10"/>
    <x v="2"/>
  </r>
  <r>
    <s v="TX501849"/>
    <x v="4"/>
    <x v="1"/>
    <n v="53.2"/>
    <n v="106.4"/>
    <x v="67"/>
    <x v="65"/>
    <x v="2"/>
    <x v="1"/>
    <x v="3"/>
    <x v="0"/>
    <x v="20"/>
    <x v="3"/>
    <x v="10"/>
    <x v="2"/>
  </r>
  <r>
    <s v="TX501850"/>
    <x v="2"/>
    <x v="1"/>
    <n v="60"/>
    <n v="120"/>
    <x v="67"/>
    <x v="72"/>
    <x v="1"/>
    <x v="1"/>
    <x v="2"/>
    <x v="0"/>
    <x v="20"/>
    <x v="4"/>
    <x v="10"/>
    <x v="1"/>
  </r>
  <r>
    <s v="TX501851"/>
    <x v="8"/>
    <x v="2"/>
    <n v="29.3"/>
    <n v="87.9"/>
    <x v="67"/>
    <x v="65"/>
    <x v="2"/>
    <x v="4"/>
    <x v="0"/>
    <x v="0"/>
    <x v="13"/>
    <x v="3"/>
    <x v="10"/>
    <x v="2"/>
  </r>
  <r>
    <s v="TX501852"/>
    <x v="12"/>
    <x v="1"/>
    <n v="55.4"/>
    <n v="110.8"/>
    <x v="67"/>
    <x v="65"/>
    <x v="2"/>
    <x v="0"/>
    <x v="2"/>
    <x v="0"/>
    <x v="21"/>
    <x v="3"/>
    <x v="10"/>
    <x v="2"/>
  </r>
  <r>
    <s v="TX501853"/>
    <x v="0"/>
    <x v="9"/>
    <n v="20.100000000000001"/>
    <n v="100.5"/>
    <x v="67"/>
    <x v="71"/>
    <x v="2"/>
    <x v="1"/>
    <x v="2"/>
    <x v="0"/>
    <x v="21"/>
    <x v="1"/>
    <x v="10"/>
    <x v="2"/>
  </r>
  <r>
    <s v="TX501854"/>
    <x v="14"/>
    <x v="9"/>
    <n v="24"/>
    <n v="120"/>
    <x v="67"/>
    <x v="74"/>
    <x v="1"/>
    <x v="2"/>
    <x v="0"/>
    <x v="0"/>
    <x v="1"/>
    <x v="2"/>
    <x v="10"/>
    <x v="1"/>
  </r>
  <r>
    <s v="TX501855"/>
    <x v="8"/>
    <x v="1"/>
    <n v="30.6"/>
    <n v="61.2"/>
    <x v="68"/>
    <x v="74"/>
    <x v="2"/>
    <x v="0"/>
    <x v="0"/>
    <x v="0"/>
    <x v="1"/>
    <x v="1"/>
    <x v="10"/>
    <x v="2"/>
  </r>
  <r>
    <s v="TX501856"/>
    <x v="10"/>
    <x v="9"/>
    <n v="33"/>
    <n v="165"/>
    <x v="68"/>
    <x v="71"/>
    <x v="1"/>
    <x v="1"/>
    <x v="1"/>
    <x v="0"/>
    <x v="27"/>
    <x v="3"/>
    <x v="10"/>
    <x v="1"/>
  </r>
  <r>
    <s v="TX501857"/>
    <x v="17"/>
    <x v="11"/>
    <n v="42.1"/>
    <n v="378.90000000000003"/>
    <x v="68"/>
    <x v="69"/>
    <x v="2"/>
    <x v="2"/>
    <x v="0"/>
    <x v="0"/>
    <x v="44"/>
    <x v="4"/>
    <x v="10"/>
    <x v="2"/>
  </r>
  <r>
    <s v="TX501858"/>
    <x v="6"/>
    <x v="3"/>
    <n v="77.7"/>
    <n v="543.9"/>
    <x v="68"/>
    <x v="72"/>
    <x v="2"/>
    <x v="1"/>
    <x v="2"/>
    <x v="0"/>
    <x v="50"/>
    <x v="0"/>
    <x v="10"/>
    <x v="2"/>
  </r>
  <r>
    <s v="TX501859"/>
    <x v="17"/>
    <x v="13"/>
    <n v="22.7"/>
    <n v="136.19999999999999"/>
    <x v="68"/>
    <x v="64"/>
    <x v="2"/>
    <x v="2"/>
    <x v="0"/>
    <x v="0"/>
    <x v="3"/>
    <x v="2"/>
    <x v="10"/>
    <x v="2"/>
  </r>
  <r>
    <s v="TX501860"/>
    <x v="2"/>
    <x v="1"/>
    <n v="133"/>
    <n v="266"/>
    <x v="68"/>
    <x v="65"/>
    <x v="1"/>
    <x v="2"/>
    <x v="2"/>
    <x v="0"/>
    <x v="3"/>
    <x v="7"/>
    <x v="10"/>
    <x v="1"/>
  </r>
  <r>
    <s v="TX501861"/>
    <x v="0"/>
    <x v="1"/>
    <n v="23.3"/>
    <n v="46.6"/>
    <x v="68"/>
    <x v="71"/>
    <x v="1"/>
    <x v="1"/>
    <x v="2"/>
    <x v="0"/>
    <x v="3"/>
    <x v="3"/>
    <x v="10"/>
    <x v="1"/>
  </r>
  <r>
    <s v="TX501862"/>
    <x v="8"/>
    <x v="2"/>
    <n v="20.7"/>
    <n v="62.099999999999994"/>
    <x v="68"/>
    <x v="74"/>
    <x v="3"/>
    <x v="0"/>
    <x v="2"/>
    <x v="0"/>
    <x v="3"/>
    <x v="1"/>
    <x v="10"/>
    <x v="3"/>
  </r>
  <r>
    <s v="TX501863"/>
    <x v="12"/>
    <x v="1"/>
    <n v="47"/>
    <n v="94"/>
    <x v="68"/>
    <x v="71"/>
    <x v="1"/>
    <x v="1"/>
    <x v="2"/>
    <x v="0"/>
    <x v="3"/>
    <x v="3"/>
    <x v="10"/>
    <x v="1"/>
  </r>
  <r>
    <s v="TX501864"/>
    <x v="12"/>
    <x v="2"/>
    <n v="38.200000000000003"/>
    <n v="114.60000000000001"/>
    <x v="68"/>
    <x v="74"/>
    <x v="2"/>
    <x v="2"/>
    <x v="4"/>
    <x v="0"/>
    <x v="3"/>
    <x v="1"/>
    <x v="10"/>
    <x v="2"/>
  </r>
  <r>
    <s v="TX501865"/>
    <x v="9"/>
    <x v="0"/>
    <n v="39.1"/>
    <n v="39.1"/>
    <x v="68"/>
    <x v="74"/>
    <x v="2"/>
    <x v="0"/>
    <x v="0"/>
    <x v="0"/>
    <x v="3"/>
    <x v="1"/>
    <x v="10"/>
    <x v="2"/>
  </r>
  <r>
    <s v="TX501866"/>
    <x v="7"/>
    <x v="30"/>
    <n v="55.6"/>
    <n v="1390"/>
    <x v="68"/>
    <x v="74"/>
    <x v="1"/>
    <x v="0"/>
    <x v="2"/>
    <x v="0"/>
    <x v="3"/>
    <x v="1"/>
    <x v="10"/>
    <x v="1"/>
  </r>
  <r>
    <s v="TX501867"/>
    <x v="15"/>
    <x v="0"/>
    <n v="43.1"/>
    <n v="43.1"/>
    <x v="68"/>
    <x v="65"/>
    <x v="3"/>
    <x v="1"/>
    <x v="2"/>
    <x v="0"/>
    <x v="3"/>
    <x v="7"/>
    <x v="10"/>
    <x v="3"/>
  </r>
  <r>
    <s v="TX501868"/>
    <x v="6"/>
    <x v="12"/>
    <n v="48.1"/>
    <n v="192.4"/>
    <x v="68"/>
    <x v="71"/>
    <x v="2"/>
    <x v="4"/>
    <x v="2"/>
    <x v="0"/>
    <x v="3"/>
    <x v="3"/>
    <x v="10"/>
    <x v="2"/>
  </r>
  <r>
    <s v="TX501869"/>
    <x v="4"/>
    <x v="0"/>
    <n v="42"/>
    <n v="42"/>
    <x v="68"/>
    <x v="71"/>
    <x v="3"/>
    <x v="0"/>
    <x v="0"/>
    <x v="0"/>
    <x v="3"/>
    <x v="3"/>
    <x v="10"/>
    <x v="3"/>
  </r>
  <r>
    <s v="TX501870"/>
    <x v="8"/>
    <x v="9"/>
    <n v="18.3"/>
    <n v="91.5"/>
    <x v="68"/>
    <x v="65"/>
    <x v="2"/>
    <x v="2"/>
    <x v="0"/>
    <x v="0"/>
    <x v="3"/>
    <x v="7"/>
    <x v="10"/>
    <x v="2"/>
  </r>
  <r>
    <s v="TX501871"/>
    <x v="10"/>
    <x v="12"/>
    <n v="45.3"/>
    <n v="181.2"/>
    <x v="68"/>
    <x v="64"/>
    <x v="2"/>
    <x v="0"/>
    <x v="2"/>
    <x v="0"/>
    <x v="3"/>
    <x v="2"/>
    <x v="10"/>
    <x v="2"/>
  </r>
  <r>
    <s v="TX501872"/>
    <x v="0"/>
    <x v="1"/>
    <n v="27.6"/>
    <n v="55.2"/>
    <x v="68"/>
    <x v="74"/>
    <x v="1"/>
    <x v="0"/>
    <x v="2"/>
    <x v="0"/>
    <x v="37"/>
    <x v="1"/>
    <x v="10"/>
    <x v="1"/>
  </r>
  <r>
    <s v="TX501873"/>
    <x v="4"/>
    <x v="9"/>
    <n v="26.9"/>
    <n v="134.5"/>
    <x v="68"/>
    <x v="71"/>
    <x v="2"/>
    <x v="2"/>
    <x v="0"/>
    <x v="0"/>
    <x v="25"/>
    <x v="3"/>
    <x v="10"/>
    <x v="2"/>
  </r>
  <r>
    <s v="TX501874"/>
    <x v="2"/>
    <x v="11"/>
    <n v="82.4"/>
    <n v="741.6"/>
    <x v="68"/>
    <x v="74"/>
    <x v="3"/>
    <x v="2"/>
    <x v="0"/>
    <x v="0"/>
    <x v="5"/>
    <x v="1"/>
    <x v="10"/>
    <x v="3"/>
  </r>
  <r>
    <s v="TX501875"/>
    <x v="6"/>
    <x v="0"/>
    <n v="103.7"/>
    <n v="103.7"/>
    <x v="68"/>
    <x v="74"/>
    <x v="2"/>
    <x v="1"/>
    <x v="0"/>
    <x v="0"/>
    <x v="5"/>
    <x v="1"/>
    <x v="10"/>
    <x v="2"/>
  </r>
  <r>
    <s v="TX501876"/>
    <x v="2"/>
    <x v="1"/>
    <n v="58.8"/>
    <n v="117.6"/>
    <x v="68"/>
    <x v="72"/>
    <x v="2"/>
    <x v="1"/>
    <x v="2"/>
    <x v="0"/>
    <x v="6"/>
    <x v="0"/>
    <x v="10"/>
    <x v="2"/>
  </r>
  <r>
    <s v="TX501877"/>
    <x v="13"/>
    <x v="0"/>
    <n v="31.5"/>
    <n v="31.5"/>
    <x v="68"/>
    <x v="71"/>
    <x v="2"/>
    <x v="1"/>
    <x v="1"/>
    <x v="0"/>
    <x v="6"/>
    <x v="3"/>
    <x v="10"/>
    <x v="2"/>
  </r>
  <r>
    <s v="TX501878"/>
    <x v="7"/>
    <x v="9"/>
    <n v="36.799999999999997"/>
    <n v="184"/>
    <x v="68"/>
    <x v="74"/>
    <x v="2"/>
    <x v="0"/>
    <x v="0"/>
    <x v="0"/>
    <x v="8"/>
    <x v="1"/>
    <x v="10"/>
    <x v="2"/>
  </r>
  <r>
    <s v="TX501879"/>
    <x v="3"/>
    <x v="0"/>
    <n v="84.4"/>
    <n v="84.4"/>
    <x v="68"/>
    <x v="71"/>
    <x v="2"/>
    <x v="0"/>
    <x v="0"/>
    <x v="0"/>
    <x v="8"/>
    <x v="3"/>
    <x v="10"/>
    <x v="2"/>
  </r>
  <r>
    <s v="TX501880"/>
    <x v="14"/>
    <x v="0"/>
    <n v="44.7"/>
    <n v="44.7"/>
    <x v="68"/>
    <x v="71"/>
    <x v="1"/>
    <x v="0"/>
    <x v="1"/>
    <x v="0"/>
    <x v="8"/>
    <x v="3"/>
    <x v="10"/>
    <x v="1"/>
  </r>
  <r>
    <s v="TX501881"/>
    <x v="9"/>
    <x v="8"/>
    <n v="39.4"/>
    <n v="315.2"/>
    <x v="68"/>
    <x v="71"/>
    <x v="2"/>
    <x v="1"/>
    <x v="2"/>
    <x v="0"/>
    <x v="8"/>
    <x v="3"/>
    <x v="10"/>
    <x v="2"/>
  </r>
  <r>
    <s v="TX501882"/>
    <x v="11"/>
    <x v="12"/>
    <n v="34.9"/>
    <n v="139.6"/>
    <x v="68"/>
    <x v="74"/>
    <x v="2"/>
    <x v="0"/>
    <x v="2"/>
    <x v="0"/>
    <x v="8"/>
    <x v="1"/>
    <x v="10"/>
    <x v="2"/>
  </r>
  <r>
    <s v="TX501883"/>
    <x v="1"/>
    <x v="2"/>
    <n v="62.3"/>
    <n v="186.89999999999998"/>
    <x v="68"/>
    <x v="74"/>
    <x v="1"/>
    <x v="4"/>
    <x v="2"/>
    <x v="0"/>
    <x v="8"/>
    <x v="1"/>
    <x v="10"/>
    <x v="1"/>
  </r>
  <r>
    <s v="TX501884"/>
    <x v="8"/>
    <x v="12"/>
    <n v="21.1"/>
    <n v="84.4"/>
    <x v="68"/>
    <x v="64"/>
    <x v="1"/>
    <x v="3"/>
    <x v="0"/>
    <x v="0"/>
    <x v="8"/>
    <x v="2"/>
    <x v="10"/>
    <x v="1"/>
  </r>
  <r>
    <s v="TX501885"/>
    <x v="8"/>
    <x v="2"/>
    <n v="33.200000000000003"/>
    <n v="99.600000000000009"/>
    <x v="68"/>
    <x v="77"/>
    <x v="0"/>
    <x v="0"/>
    <x v="4"/>
    <x v="0"/>
    <x v="8"/>
    <x v="12"/>
    <x v="10"/>
    <x v="0"/>
  </r>
  <r>
    <s v="TX501886"/>
    <x v="1"/>
    <x v="12"/>
    <n v="74.5"/>
    <n v="298"/>
    <x v="68"/>
    <x v="71"/>
    <x v="1"/>
    <x v="4"/>
    <x v="0"/>
    <x v="0"/>
    <x v="8"/>
    <x v="3"/>
    <x v="10"/>
    <x v="1"/>
  </r>
  <r>
    <s v="TX501887"/>
    <x v="10"/>
    <x v="4"/>
    <n v="68.599999999999994"/>
    <n v="823.19999999999993"/>
    <x v="68"/>
    <x v="64"/>
    <x v="2"/>
    <x v="0"/>
    <x v="2"/>
    <x v="0"/>
    <x v="8"/>
    <x v="2"/>
    <x v="10"/>
    <x v="2"/>
  </r>
  <r>
    <s v="TX501888"/>
    <x v="5"/>
    <x v="21"/>
    <n v="36.4"/>
    <n v="509.59999999999997"/>
    <x v="68"/>
    <x v="74"/>
    <x v="2"/>
    <x v="0"/>
    <x v="1"/>
    <x v="0"/>
    <x v="9"/>
    <x v="1"/>
    <x v="10"/>
    <x v="2"/>
  </r>
  <r>
    <s v="TX501889"/>
    <x v="16"/>
    <x v="9"/>
    <n v="67.599999999999994"/>
    <n v="338"/>
    <x v="69"/>
    <x v="67"/>
    <x v="2"/>
    <x v="4"/>
    <x v="1"/>
    <x v="0"/>
    <x v="9"/>
    <x v="2"/>
    <x v="10"/>
    <x v="2"/>
  </r>
  <r>
    <s v="TX501890"/>
    <x v="15"/>
    <x v="0"/>
    <n v="46.3"/>
    <n v="46.3"/>
    <x v="69"/>
    <x v="74"/>
    <x v="1"/>
    <x v="2"/>
    <x v="0"/>
    <x v="0"/>
    <x v="9"/>
    <x v="3"/>
    <x v="10"/>
    <x v="1"/>
  </r>
  <r>
    <s v="TX501891"/>
    <x v="1"/>
    <x v="2"/>
    <n v="124.2"/>
    <n v="372.6"/>
    <x v="69"/>
    <x v="64"/>
    <x v="2"/>
    <x v="1"/>
    <x v="2"/>
    <x v="0"/>
    <x v="11"/>
    <x v="1"/>
    <x v="10"/>
    <x v="2"/>
  </r>
  <r>
    <s v="TX501892"/>
    <x v="10"/>
    <x v="1"/>
    <n v="37"/>
    <n v="74"/>
    <x v="69"/>
    <x v="76"/>
    <x v="1"/>
    <x v="0"/>
    <x v="0"/>
    <x v="0"/>
    <x v="11"/>
    <x v="4"/>
    <x v="10"/>
    <x v="1"/>
  </r>
  <r>
    <s v="TX501893"/>
    <x v="5"/>
    <x v="0"/>
    <n v="41.8"/>
    <n v="41.8"/>
    <x v="69"/>
    <x v="74"/>
    <x v="1"/>
    <x v="2"/>
    <x v="0"/>
    <x v="0"/>
    <x v="31"/>
    <x v="3"/>
    <x v="10"/>
    <x v="1"/>
  </r>
  <r>
    <s v="TX501894"/>
    <x v="9"/>
    <x v="1"/>
    <n v="57.2"/>
    <n v="114.4"/>
    <x v="69"/>
    <x v="64"/>
    <x v="1"/>
    <x v="2"/>
    <x v="1"/>
    <x v="0"/>
    <x v="20"/>
    <x v="1"/>
    <x v="10"/>
    <x v="1"/>
  </r>
  <r>
    <s v="TX501895"/>
    <x v="6"/>
    <x v="1"/>
    <n v="47.1"/>
    <n v="94.2"/>
    <x v="69"/>
    <x v="64"/>
    <x v="2"/>
    <x v="0"/>
    <x v="4"/>
    <x v="0"/>
    <x v="20"/>
    <x v="1"/>
    <x v="10"/>
    <x v="2"/>
  </r>
  <r>
    <s v="TX501896"/>
    <x v="5"/>
    <x v="2"/>
    <n v="86.4"/>
    <n v="259.20000000000005"/>
    <x v="69"/>
    <x v="74"/>
    <x v="1"/>
    <x v="2"/>
    <x v="1"/>
    <x v="0"/>
    <x v="52"/>
    <x v="3"/>
    <x v="10"/>
    <x v="1"/>
  </r>
  <r>
    <s v="TX501897"/>
    <x v="6"/>
    <x v="9"/>
    <n v="105"/>
    <n v="525"/>
    <x v="69"/>
    <x v="67"/>
    <x v="1"/>
    <x v="0"/>
    <x v="0"/>
    <x v="0"/>
    <x v="13"/>
    <x v="2"/>
    <x v="10"/>
    <x v="1"/>
  </r>
  <r>
    <s v="TX501898"/>
    <x v="18"/>
    <x v="0"/>
    <n v="33"/>
    <n v="33"/>
    <x v="69"/>
    <x v="67"/>
    <x v="1"/>
    <x v="4"/>
    <x v="0"/>
    <x v="0"/>
    <x v="21"/>
    <x v="2"/>
    <x v="10"/>
    <x v="1"/>
  </r>
  <r>
    <s v="TX501899"/>
    <x v="6"/>
    <x v="9"/>
    <n v="106.6"/>
    <n v="533"/>
    <x v="69"/>
    <x v="77"/>
    <x v="2"/>
    <x v="2"/>
    <x v="0"/>
    <x v="0"/>
    <x v="1"/>
    <x v="10"/>
    <x v="10"/>
    <x v="2"/>
  </r>
  <r>
    <s v="TX501900"/>
    <x v="10"/>
    <x v="46"/>
    <n v="26.8"/>
    <n v="857.6"/>
    <x v="69"/>
    <x v="74"/>
    <x v="2"/>
    <x v="2"/>
    <x v="0"/>
    <x v="0"/>
    <x v="1"/>
    <x v="3"/>
    <x v="10"/>
    <x v="2"/>
  </r>
  <r>
    <s v="TX501901"/>
    <x v="17"/>
    <x v="9"/>
    <n v="25.8"/>
    <n v="129"/>
    <x v="69"/>
    <x v="71"/>
    <x v="2"/>
    <x v="1"/>
    <x v="2"/>
    <x v="0"/>
    <x v="3"/>
    <x v="7"/>
    <x v="10"/>
    <x v="2"/>
  </r>
  <r>
    <s v="TX501902"/>
    <x v="2"/>
    <x v="2"/>
    <n v="217"/>
    <n v="651"/>
    <x v="69"/>
    <x v="74"/>
    <x v="2"/>
    <x v="1"/>
    <x v="1"/>
    <x v="0"/>
    <x v="3"/>
    <x v="3"/>
    <x v="10"/>
    <x v="2"/>
  </r>
  <r>
    <s v="TX501903"/>
    <x v="2"/>
    <x v="1"/>
    <n v="97.3"/>
    <n v="194.6"/>
    <x v="69"/>
    <x v="74"/>
    <x v="1"/>
    <x v="2"/>
    <x v="4"/>
    <x v="0"/>
    <x v="3"/>
    <x v="3"/>
    <x v="10"/>
    <x v="1"/>
  </r>
  <r>
    <s v="TX501904"/>
    <x v="1"/>
    <x v="0"/>
    <n v="49.8"/>
    <n v="49.8"/>
    <x v="69"/>
    <x v="74"/>
    <x v="2"/>
    <x v="0"/>
    <x v="0"/>
    <x v="0"/>
    <x v="3"/>
    <x v="3"/>
    <x v="10"/>
    <x v="2"/>
  </r>
  <r>
    <s v="TX501905"/>
    <x v="12"/>
    <x v="9"/>
    <n v="32.6"/>
    <n v="163"/>
    <x v="69"/>
    <x v="74"/>
    <x v="2"/>
    <x v="0"/>
    <x v="0"/>
    <x v="0"/>
    <x v="3"/>
    <x v="3"/>
    <x v="10"/>
    <x v="2"/>
  </r>
  <r>
    <s v="TX501906"/>
    <x v="9"/>
    <x v="1"/>
    <n v="40.1"/>
    <n v="80.2"/>
    <x v="69"/>
    <x v="67"/>
    <x v="1"/>
    <x v="1"/>
    <x v="2"/>
    <x v="0"/>
    <x v="3"/>
    <x v="2"/>
    <x v="10"/>
    <x v="1"/>
  </r>
  <r>
    <s v="TX501907"/>
    <x v="10"/>
    <x v="1"/>
    <n v="49.4"/>
    <n v="98.8"/>
    <x v="69"/>
    <x v="64"/>
    <x v="1"/>
    <x v="1"/>
    <x v="0"/>
    <x v="0"/>
    <x v="3"/>
    <x v="1"/>
    <x v="10"/>
    <x v="1"/>
  </r>
  <r>
    <s v="TX501908"/>
    <x v="2"/>
    <x v="0"/>
    <n v="67.3"/>
    <n v="67.3"/>
    <x v="69"/>
    <x v="74"/>
    <x v="2"/>
    <x v="0"/>
    <x v="2"/>
    <x v="0"/>
    <x v="3"/>
    <x v="3"/>
    <x v="10"/>
    <x v="2"/>
  </r>
  <r>
    <s v="TX501909"/>
    <x v="18"/>
    <x v="12"/>
    <n v="44.5"/>
    <n v="178"/>
    <x v="69"/>
    <x v="67"/>
    <x v="0"/>
    <x v="1"/>
    <x v="0"/>
    <x v="0"/>
    <x v="3"/>
    <x v="2"/>
    <x v="10"/>
    <x v="0"/>
  </r>
  <r>
    <s v="TX501910"/>
    <x v="6"/>
    <x v="5"/>
    <n v="111.1"/>
    <n v="1222.0999999999999"/>
    <x v="69"/>
    <x v="74"/>
    <x v="2"/>
    <x v="4"/>
    <x v="0"/>
    <x v="0"/>
    <x v="3"/>
    <x v="3"/>
    <x v="10"/>
    <x v="2"/>
  </r>
  <r>
    <s v="TX501911"/>
    <x v="8"/>
    <x v="2"/>
    <n v="19.7"/>
    <n v="59.099999999999994"/>
    <x v="69"/>
    <x v="74"/>
    <x v="2"/>
    <x v="4"/>
    <x v="4"/>
    <x v="0"/>
    <x v="3"/>
    <x v="3"/>
    <x v="10"/>
    <x v="2"/>
  </r>
  <r>
    <s v="TX501912"/>
    <x v="1"/>
    <x v="0"/>
    <n v="40.299999999999997"/>
    <n v="40.299999999999997"/>
    <x v="69"/>
    <x v="74"/>
    <x v="3"/>
    <x v="1"/>
    <x v="0"/>
    <x v="0"/>
    <x v="3"/>
    <x v="3"/>
    <x v="10"/>
    <x v="3"/>
  </r>
  <r>
    <s v="TX501913"/>
    <x v="6"/>
    <x v="1"/>
    <n v="108.8"/>
    <n v="217.6"/>
    <x v="69"/>
    <x v="69"/>
    <x v="1"/>
    <x v="0"/>
    <x v="2"/>
    <x v="0"/>
    <x v="6"/>
    <x v="0"/>
    <x v="10"/>
    <x v="1"/>
  </r>
  <r>
    <s v="TX501914"/>
    <x v="8"/>
    <x v="2"/>
    <n v="48.2"/>
    <n v="144.60000000000002"/>
    <x v="69"/>
    <x v="69"/>
    <x v="2"/>
    <x v="4"/>
    <x v="0"/>
    <x v="0"/>
    <x v="7"/>
    <x v="0"/>
    <x v="10"/>
    <x v="2"/>
  </r>
  <r>
    <s v="TX501915"/>
    <x v="2"/>
    <x v="2"/>
    <n v="104.7"/>
    <n v="314.10000000000002"/>
    <x v="69"/>
    <x v="64"/>
    <x v="2"/>
    <x v="0"/>
    <x v="1"/>
    <x v="0"/>
    <x v="7"/>
    <x v="1"/>
    <x v="10"/>
    <x v="2"/>
  </r>
  <r>
    <s v="TX501916"/>
    <x v="1"/>
    <x v="1"/>
    <n v="80.599999999999994"/>
    <n v="161.19999999999999"/>
    <x v="69"/>
    <x v="71"/>
    <x v="2"/>
    <x v="1"/>
    <x v="0"/>
    <x v="0"/>
    <x v="8"/>
    <x v="7"/>
    <x v="10"/>
    <x v="2"/>
  </r>
  <r>
    <s v="TX501917"/>
    <x v="6"/>
    <x v="0"/>
    <n v="65.5"/>
    <n v="65.5"/>
    <x v="69"/>
    <x v="64"/>
    <x v="3"/>
    <x v="1"/>
    <x v="0"/>
    <x v="0"/>
    <x v="8"/>
    <x v="1"/>
    <x v="10"/>
    <x v="3"/>
  </r>
  <r>
    <s v="TX501918"/>
    <x v="9"/>
    <x v="2"/>
    <n v="61.4"/>
    <n v="184.2"/>
    <x v="69"/>
    <x v="64"/>
    <x v="2"/>
    <x v="4"/>
    <x v="2"/>
    <x v="0"/>
    <x v="8"/>
    <x v="1"/>
    <x v="10"/>
    <x v="2"/>
  </r>
  <r>
    <s v="TX501919"/>
    <x v="0"/>
    <x v="0"/>
    <n v="12.5"/>
    <n v="12.5"/>
    <x v="70"/>
    <x v="72"/>
    <x v="2"/>
    <x v="0"/>
    <x v="1"/>
    <x v="0"/>
    <x v="8"/>
    <x v="2"/>
    <x v="10"/>
    <x v="2"/>
  </r>
  <r>
    <s v="TX501920"/>
    <x v="4"/>
    <x v="12"/>
    <n v="35.1"/>
    <n v="140.4"/>
    <x v="70"/>
    <x v="64"/>
    <x v="1"/>
    <x v="2"/>
    <x v="1"/>
    <x v="0"/>
    <x v="17"/>
    <x v="3"/>
    <x v="10"/>
    <x v="1"/>
  </r>
  <r>
    <s v="TX501921"/>
    <x v="5"/>
    <x v="1"/>
    <n v="55.7"/>
    <n v="111.4"/>
    <x v="70"/>
    <x v="64"/>
    <x v="1"/>
    <x v="0"/>
    <x v="1"/>
    <x v="0"/>
    <x v="26"/>
    <x v="3"/>
    <x v="10"/>
    <x v="1"/>
  </r>
  <r>
    <s v="TX501922"/>
    <x v="7"/>
    <x v="1"/>
    <n v="57.7"/>
    <n v="115.4"/>
    <x v="70"/>
    <x v="67"/>
    <x v="1"/>
    <x v="4"/>
    <x v="1"/>
    <x v="0"/>
    <x v="9"/>
    <x v="1"/>
    <x v="10"/>
    <x v="1"/>
  </r>
  <r>
    <s v="TX501923"/>
    <x v="2"/>
    <x v="13"/>
    <n v="85.7"/>
    <n v="514.20000000000005"/>
    <x v="70"/>
    <x v="64"/>
    <x v="1"/>
    <x v="3"/>
    <x v="2"/>
    <x v="0"/>
    <x v="9"/>
    <x v="3"/>
    <x v="10"/>
    <x v="1"/>
  </r>
  <r>
    <s v="TX501924"/>
    <x v="2"/>
    <x v="2"/>
    <n v="86.9"/>
    <n v="260.70000000000005"/>
    <x v="70"/>
    <x v="67"/>
    <x v="2"/>
    <x v="1"/>
    <x v="0"/>
    <x v="0"/>
    <x v="11"/>
    <x v="1"/>
    <x v="10"/>
    <x v="2"/>
  </r>
  <r>
    <s v="TX501925"/>
    <x v="18"/>
    <x v="1"/>
    <n v="46.4"/>
    <n v="92.8"/>
    <x v="70"/>
    <x v="72"/>
    <x v="2"/>
    <x v="4"/>
    <x v="0"/>
    <x v="0"/>
    <x v="11"/>
    <x v="2"/>
    <x v="10"/>
    <x v="2"/>
  </r>
  <r>
    <s v="TX501926"/>
    <x v="5"/>
    <x v="2"/>
    <n v="25.4"/>
    <n v="76.199999999999989"/>
    <x v="70"/>
    <x v="74"/>
    <x v="2"/>
    <x v="2"/>
    <x v="2"/>
    <x v="0"/>
    <x v="18"/>
    <x v="7"/>
    <x v="10"/>
    <x v="2"/>
  </r>
  <r>
    <s v="TX501927"/>
    <x v="10"/>
    <x v="2"/>
    <n v="47.8"/>
    <n v="143.39999999999998"/>
    <x v="70"/>
    <x v="74"/>
    <x v="0"/>
    <x v="2"/>
    <x v="2"/>
    <x v="0"/>
    <x v="19"/>
    <x v="7"/>
    <x v="10"/>
    <x v="0"/>
  </r>
  <r>
    <s v="TX501928"/>
    <x v="8"/>
    <x v="10"/>
    <n v="18.399999999999999"/>
    <n v="349.59999999999997"/>
    <x v="70"/>
    <x v="67"/>
    <x v="3"/>
    <x v="2"/>
    <x v="0"/>
    <x v="0"/>
    <x v="20"/>
    <x v="1"/>
    <x v="10"/>
    <x v="3"/>
  </r>
  <r>
    <s v="TX501929"/>
    <x v="12"/>
    <x v="2"/>
    <n v="65.5"/>
    <n v="196.5"/>
    <x v="70"/>
    <x v="78"/>
    <x v="2"/>
    <x v="0"/>
    <x v="0"/>
    <x v="0"/>
    <x v="21"/>
    <x v="9"/>
    <x v="10"/>
    <x v="2"/>
  </r>
  <r>
    <s v="TX501930"/>
    <x v="10"/>
    <x v="1"/>
    <n v="50.6"/>
    <n v="101.2"/>
    <x v="70"/>
    <x v="72"/>
    <x v="1"/>
    <x v="2"/>
    <x v="4"/>
    <x v="0"/>
    <x v="21"/>
    <x v="2"/>
    <x v="10"/>
    <x v="1"/>
  </r>
  <r>
    <s v="TX501931"/>
    <x v="3"/>
    <x v="9"/>
    <n v="69"/>
    <n v="345"/>
    <x v="70"/>
    <x v="69"/>
    <x v="1"/>
    <x v="3"/>
    <x v="0"/>
    <x v="0"/>
    <x v="21"/>
    <x v="5"/>
    <x v="10"/>
    <x v="1"/>
  </r>
  <r>
    <s v="TX501932"/>
    <x v="9"/>
    <x v="8"/>
    <n v="51.1"/>
    <n v="408.8"/>
    <x v="70"/>
    <x v="67"/>
    <x v="2"/>
    <x v="0"/>
    <x v="0"/>
    <x v="0"/>
    <x v="1"/>
    <x v="1"/>
    <x v="10"/>
    <x v="2"/>
  </r>
  <r>
    <s v="TX501933"/>
    <x v="9"/>
    <x v="0"/>
    <n v="36.1"/>
    <n v="36.1"/>
    <x v="70"/>
    <x v="64"/>
    <x v="2"/>
    <x v="0"/>
    <x v="2"/>
    <x v="0"/>
    <x v="34"/>
    <x v="3"/>
    <x v="10"/>
    <x v="2"/>
  </r>
  <r>
    <s v="TX501934"/>
    <x v="14"/>
    <x v="0"/>
    <n v="18.7"/>
    <n v="18.7"/>
    <x v="70"/>
    <x v="64"/>
    <x v="1"/>
    <x v="0"/>
    <x v="0"/>
    <x v="0"/>
    <x v="3"/>
    <x v="3"/>
    <x v="10"/>
    <x v="1"/>
  </r>
  <r>
    <s v="TX501935"/>
    <x v="17"/>
    <x v="0"/>
    <n v="30.1"/>
    <n v="30.1"/>
    <x v="70"/>
    <x v="72"/>
    <x v="2"/>
    <x v="3"/>
    <x v="1"/>
    <x v="0"/>
    <x v="3"/>
    <x v="2"/>
    <x v="10"/>
    <x v="2"/>
  </r>
  <r>
    <s v="TX501936"/>
    <x v="8"/>
    <x v="0"/>
    <n v="16.3"/>
    <n v="16.3"/>
    <x v="70"/>
    <x v="64"/>
    <x v="1"/>
    <x v="3"/>
    <x v="0"/>
    <x v="0"/>
    <x v="3"/>
    <x v="3"/>
    <x v="10"/>
    <x v="1"/>
  </r>
  <r>
    <s v="TX501937"/>
    <x v="1"/>
    <x v="2"/>
    <n v="63.8"/>
    <n v="191.39999999999998"/>
    <x v="70"/>
    <x v="76"/>
    <x v="2"/>
    <x v="2"/>
    <x v="1"/>
    <x v="0"/>
    <x v="3"/>
    <x v="0"/>
    <x v="10"/>
    <x v="2"/>
  </r>
  <r>
    <s v="TX501938"/>
    <x v="1"/>
    <x v="3"/>
    <n v="73.900000000000006"/>
    <n v="517.30000000000007"/>
    <x v="70"/>
    <x v="74"/>
    <x v="2"/>
    <x v="0"/>
    <x v="1"/>
    <x v="0"/>
    <x v="3"/>
    <x v="7"/>
    <x v="10"/>
    <x v="2"/>
  </r>
  <r>
    <s v="TX501939"/>
    <x v="0"/>
    <x v="1"/>
    <n v="20.2"/>
    <n v="40.4"/>
    <x v="70"/>
    <x v="64"/>
    <x v="1"/>
    <x v="0"/>
    <x v="1"/>
    <x v="0"/>
    <x v="3"/>
    <x v="3"/>
    <x v="10"/>
    <x v="1"/>
  </r>
  <r>
    <s v="TX501940"/>
    <x v="11"/>
    <x v="5"/>
    <n v="29.5"/>
    <n v="324.5"/>
    <x v="70"/>
    <x v="64"/>
    <x v="1"/>
    <x v="0"/>
    <x v="0"/>
    <x v="0"/>
    <x v="3"/>
    <x v="3"/>
    <x v="10"/>
    <x v="1"/>
  </r>
  <r>
    <s v="TX501941"/>
    <x v="15"/>
    <x v="3"/>
    <n v="37.9"/>
    <n v="265.3"/>
    <x v="70"/>
    <x v="64"/>
    <x v="1"/>
    <x v="1"/>
    <x v="0"/>
    <x v="0"/>
    <x v="3"/>
    <x v="3"/>
    <x v="10"/>
    <x v="1"/>
  </r>
  <r>
    <s v="TX501942"/>
    <x v="2"/>
    <x v="0"/>
    <n v="56.5"/>
    <n v="56.5"/>
    <x v="70"/>
    <x v="64"/>
    <x v="2"/>
    <x v="2"/>
    <x v="1"/>
    <x v="0"/>
    <x v="3"/>
    <x v="3"/>
    <x v="10"/>
    <x v="2"/>
  </r>
  <r>
    <s v="TX501943"/>
    <x v="2"/>
    <x v="1"/>
    <n v="66.900000000000006"/>
    <n v="133.80000000000001"/>
    <x v="70"/>
    <x v="73"/>
    <x v="1"/>
    <x v="1"/>
    <x v="4"/>
    <x v="0"/>
    <x v="25"/>
    <x v="4"/>
    <x v="10"/>
    <x v="1"/>
  </r>
  <r>
    <s v="TX501944"/>
    <x v="2"/>
    <x v="9"/>
    <n v="51.9"/>
    <n v="259.5"/>
    <x v="70"/>
    <x v="72"/>
    <x v="1"/>
    <x v="1"/>
    <x v="0"/>
    <x v="0"/>
    <x v="7"/>
    <x v="2"/>
    <x v="10"/>
    <x v="1"/>
  </r>
  <r>
    <s v="TX501945"/>
    <x v="2"/>
    <x v="1"/>
    <n v="75.599999999999994"/>
    <n v="151.19999999999999"/>
    <x v="70"/>
    <x v="72"/>
    <x v="1"/>
    <x v="1"/>
    <x v="0"/>
    <x v="0"/>
    <x v="8"/>
    <x v="2"/>
    <x v="10"/>
    <x v="1"/>
  </r>
  <r>
    <s v="TX501946"/>
    <x v="12"/>
    <x v="13"/>
    <n v="47.3"/>
    <n v="283.79999999999995"/>
    <x v="70"/>
    <x v="79"/>
    <x v="1"/>
    <x v="0"/>
    <x v="0"/>
    <x v="0"/>
    <x v="8"/>
    <x v="11"/>
    <x v="10"/>
    <x v="1"/>
  </r>
  <r>
    <s v="TX501947"/>
    <x v="4"/>
    <x v="0"/>
    <n v="20.6"/>
    <n v="20.6"/>
    <x v="70"/>
    <x v="64"/>
    <x v="0"/>
    <x v="0"/>
    <x v="1"/>
    <x v="0"/>
    <x v="8"/>
    <x v="3"/>
    <x v="10"/>
    <x v="0"/>
  </r>
  <r>
    <s v="TX501948"/>
    <x v="6"/>
    <x v="2"/>
    <n v="49.7"/>
    <n v="149.10000000000002"/>
    <x v="70"/>
    <x v="67"/>
    <x v="1"/>
    <x v="0"/>
    <x v="1"/>
    <x v="0"/>
    <x v="8"/>
    <x v="1"/>
    <x v="10"/>
    <x v="1"/>
  </r>
  <r>
    <s v="TX501949"/>
    <x v="3"/>
    <x v="0"/>
    <n v="37.9"/>
    <n v="37.9"/>
    <x v="70"/>
    <x v="67"/>
    <x v="2"/>
    <x v="0"/>
    <x v="0"/>
    <x v="0"/>
    <x v="8"/>
    <x v="1"/>
    <x v="10"/>
    <x v="2"/>
  </r>
  <r>
    <s v="TX501950"/>
    <x v="13"/>
    <x v="20"/>
    <n v="32"/>
    <n v="480"/>
    <x v="70"/>
    <x v="67"/>
    <x v="2"/>
    <x v="4"/>
    <x v="0"/>
    <x v="0"/>
    <x v="11"/>
    <x v="1"/>
    <x v="10"/>
    <x v="2"/>
  </r>
  <r>
    <s v="TX501951"/>
    <x v="10"/>
    <x v="16"/>
    <n v="38.5"/>
    <n v="693"/>
    <x v="71"/>
    <x v="67"/>
    <x v="1"/>
    <x v="0"/>
    <x v="2"/>
    <x v="0"/>
    <x v="11"/>
    <x v="3"/>
    <x v="10"/>
    <x v="1"/>
  </r>
  <r>
    <s v="TX501952"/>
    <x v="0"/>
    <x v="12"/>
    <n v="11.7"/>
    <n v="46.8"/>
    <x v="71"/>
    <x v="72"/>
    <x v="2"/>
    <x v="1"/>
    <x v="0"/>
    <x v="0"/>
    <x v="20"/>
    <x v="1"/>
    <x v="10"/>
    <x v="2"/>
  </r>
  <r>
    <s v="TX501953"/>
    <x v="3"/>
    <x v="13"/>
    <n v="83.8"/>
    <n v="502.79999999999995"/>
    <x v="71"/>
    <x v="67"/>
    <x v="1"/>
    <x v="0"/>
    <x v="0"/>
    <x v="0"/>
    <x v="21"/>
    <x v="3"/>
    <x v="10"/>
    <x v="1"/>
  </r>
  <r>
    <s v="TX501954"/>
    <x v="0"/>
    <x v="3"/>
    <n v="14"/>
    <n v="98"/>
    <x v="71"/>
    <x v="69"/>
    <x v="1"/>
    <x v="0"/>
    <x v="1"/>
    <x v="0"/>
    <x v="22"/>
    <x v="2"/>
    <x v="10"/>
    <x v="1"/>
  </r>
  <r>
    <s v="TX501955"/>
    <x v="16"/>
    <x v="12"/>
    <n v="77.3"/>
    <n v="309.2"/>
    <x v="71"/>
    <x v="72"/>
    <x v="2"/>
    <x v="4"/>
    <x v="2"/>
    <x v="0"/>
    <x v="3"/>
    <x v="1"/>
    <x v="10"/>
    <x v="2"/>
  </r>
  <r>
    <s v="TX501956"/>
    <x v="2"/>
    <x v="1"/>
    <n v="76.900000000000006"/>
    <n v="153.80000000000001"/>
    <x v="71"/>
    <x v="76"/>
    <x v="2"/>
    <x v="0"/>
    <x v="1"/>
    <x v="0"/>
    <x v="3"/>
    <x v="5"/>
    <x v="10"/>
    <x v="2"/>
  </r>
  <r>
    <s v="TX501957"/>
    <x v="1"/>
    <x v="0"/>
    <n v="48"/>
    <n v="48"/>
    <x v="71"/>
    <x v="72"/>
    <x v="2"/>
    <x v="1"/>
    <x v="2"/>
    <x v="0"/>
    <x v="3"/>
    <x v="1"/>
    <x v="10"/>
    <x v="2"/>
  </r>
  <r>
    <s v="TX501958"/>
    <x v="2"/>
    <x v="0"/>
    <n v="94.5"/>
    <n v="94.5"/>
    <x v="71"/>
    <x v="69"/>
    <x v="1"/>
    <x v="1"/>
    <x v="1"/>
    <x v="0"/>
    <x v="3"/>
    <x v="2"/>
    <x v="10"/>
    <x v="1"/>
  </r>
  <r>
    <s v="TX501959"/>
    <x v="10"/>
    <x v="2"/>
    <n v="58.4"/>
    <n v="175.2"/>
    <x v="71"/>
    <x v="72"/>
    <x v="2"/>
    <x v="1"/>
    <x v="2"/>
    <x v="0"/>
    <x v="3"/>
    <x v="1"/>
    <x v="10"/>
    <x v="2"/>
  </r>
  <r>
    <s v="TX501960"/>
    <x v="7"/>
    <x v="15"/>
    <n v="42.2"/>
    <n v="548.6"/>
    <x v="71"/>
    <x v="64"/>
    <x v="1"/>
    <x v="0"/>
    <x v="0"/>
    <x v="0"/>
    <x v="25"/>
    <x v="7"/>
    <x v="10"/>
    <x v="1"/>
  </r>
  <r>
    <s v="TX501961"/>
    <x v="6"/>
    <x v="1"/>
    <n v="152.19999999999999"/>
    <n v="304.39999999999998"/>
    <x v="71"/>
    <x v="67"/>
    <x v="1"/>
    <x v="4"/>
    <x v="1"/>
    <x v="0"/>
    <x v="25"/>
    <x v="3"/>
    <x v="10"/>
    <x v="1"/>
  </r>
  <r>
    <s v="TX501962"/>
    <x v="6"/>
    <x v="25"/>
    <n v="72"/>
    <n v="1728"/>
    <x v="71"/>
    <x v="67"/>
    <x v="1"/>
    <x v="0"/>
    <x v="1"/>
    <x v="0"/>
    <x v="6"/>
    <x v="3"/>
    <x v="10"/>
    <x v="1"/>
  </r>
  <r>
    <s v="TX501963"/>
    <x v="1"/>
    <x v="44"/>
    <n v="70.900000000000006"/>
    <n v="1630.7"/>
    <x v="71"/>
    <x v="67"/>
    <x v="2"/>
    <x v="2"/>
    <x v="0"/>
    <x v="0"/>
    <x v="8"/>
    <x v="3"/>
    <x v="10"/>
    <x v="2"/>
  </r>
  <r>
    <s v="TX501964"/>
    <x v="2"/>
    <x v="1"/>
    <n v="53.7"/>
    <n v="107.4"/>
    <x v="71"/>
    <x v="67"/>
    <x v="1"/>
    <x v="2"/>
    <x v="2"/>
    <x v="0"/>
    <x v="8"/>
    <x v="3"/>
    <x v="10"/>
    <x v="1"/>
  </r>
  <r>
    <s v="TX501965"/>
    <x v="9"/>
    <x v="12"/>
    <n v="42.9"/>
    <n v="171.6"/>
    <x v="71"/>
    <x v="67"/>
    <x v="2"/>
    <x v="2"/>
    <x v="4"/>
    <x v="0"/>
    <x v="9"/>
    <x v="3"/>
    <x v="10"/>
    <x v="2"/>
  </r>
  <r>
    <s v="TX501966"/>
    <x v="2"/>
    <x v="3"/>
    <n v="107.5"/>
    <n v="752.5"/>
    <x v="71"/>
    <x v="67"/>
    <x v="1"/>
    <x v="1"/>
    <x v="0"/>
    <x v="0"/>
    <x v="11"/>
    <x v="3"/>
    <x v="10"/>
    <x v="1"/>
  </r>
  <r>
    <s v="TX501967"/>
    <x v="17"/>
    <x v="27"/>
    <n v="21.5"/>
    <n v="344"/>
    <x v="71"/>
    <x v="67"/>
    <x v="1"/>
    <x v="1"/>
    <x v="1"/>
    <x v="0"/>
    <x v="32"/>
    <x v="3"/>
    <x v="10"/>
    <x v="1"/>
  </r>
  <r>
    <s v="TX501968"/>
    <x v="3"/>
    <x v="9"/>
    <n v="85.3"/>
    <n v="426.5"/>
    <x v="71"/>
    <x v="72"/>
    <x v="2"/>
    <x v="3"/>
    <x v="0"/>
    <x v="0"/>
    <x v="18"/>
    <x v="1"/>
    <x v="10"/>
    <x v="2"/>
  </r>
  <r>
    <s v="TX501969"/>
    <x v="7"/>
    <x v="9"/>
    <n v="80.8"/>
    <n v="404"/>
    <x v="71"/>
    <x v="75"/>
    <x v="3"/>
    <x v="1"/>
    <x v="1"/>
    <x v="0"/>
    <x v="19"/>
    <x v="9"/>
    <x v="10"/>
    <x v="3"/>
  </r>
  <r>
    <s v="TX501970"/>
    <x v="2"/>
    <x v="2"/>
    <n v="123.1"/>
    <n v="369.29999999999995"/>
    <x v="71"/>
    <x v="72"/>
    <x v="0"/>
    <x v="2"/>
    <x v="0"/>
    <x v="0"/>
    <x v="21"/>
    <x v="1"/>
    <x v="10"/>
    <x v="0"/>
  </r>
  <r>
    <s v="TX501971"/>
    <x v="8"/>
    <x v="1"/>
    <n v="36.9"/>
    <n v="73.8"/>
    <x v="71"/>
    <x v="72"/>
    <x v="2"/>
    <x v="2"/>
    <x v="4"/>
    <x v="0"/>
    <x v="51"/>
    <x v="1"/>
    <x v="10"/>
    <x v="2"/>
  </r>
  <r>
    <s v="TX501972"/>
    <x v="11"/>
    <x v="9"/>
    <n v="40"/>
    <n v="200"/>
    <x v="71"/>
    <x v="67"/>
    <x v="1"/>
    <x v="0"/>
    <x v="0"/>
    <x v="0"/>
    <x v="1"/>
    <x v="3"/>
    <x v="10"/>
    <x v="1"/>
  </r>
  <r>
    <s v="TX501973"/>
    <x v="6"/>
    <x v="2"/>
    <n v="55.5"/>
    <n v="166.5"/>
    <x v="71"/>
    <x v="67"/>
    <x v="1"/>
    <x v="4"/>
    <x v="2"/>
    <x v="0"/>
    <x v="1"/>
    <x v="3"/>
    <x v="10"/>
    <x v="1"/>
  </r>
  <r>
    <s v="TX501974"/>
    <x v="0"/>
    <x v="12"/>
    <n v="20.5"/>
    <n v="82"/>
    <x v="71"/>
    <x v="76"/>
    <x v="2"/>
    <x v="4"/>
    <x v="0"/>
    <x v="0"/>
    <x v="1"/>
    <x v="5"/>
    <x v="10"/>
    <x v="2"/>
  </r>
  <r>
    <s v="TX501975"/>
    <x v="18"/>
    <x v="12"/>
    <n v="50.1"/>
    <n v="200.4"/>
    <x v="71"/>
    <x v="67"/>
    <x v="2"/>
    <x v="4"/>
    <x v="0"/>
    <x v="0"/>
    <x v="1"/>
    <x v="3"/>
    <x v="10"/>
    <x v="2"/>
  </r>
  <r>
    <s v="TX501976"/>
    <x v="9"/>
    <x v="0"/>
    <n v="35.9"/>
    <n v="35.9"/>
    <x v="71"/>
    <x v="72"/>
    <x v="1"/>
    <x v="1"/>
    <x v="2"/>
    <x v="0"/>
    <x v="1"/>
    <x v="1"/>
    <x v="10"/>
    <x v="1"/>
  </r>
  <r>
    <s v="TX501977"/>
    <x v="13"/>
    <x v="12"/>
    <n v="29.4"/>
    <n v="117.6"/>
    <x v="72"/>
    <x v="72"/>
    <x v="1"/>
    <x v="2"/>
    <x v="2"/>
    <x v="0"/>
    <x v="33"/>
    <x v="3"/>
    <x v="10"/>
    <x v="1"/>
  </r>
  <r>
    <s v="TX501978"/>
    <x v="8"/>
    <x v="9"/>
    <n v="29.1"/>
    <n v="145.5"/>
    <x v="72"/>
    <x v="80"/>
    <x v="3"/>
    <x v="2"/>
    <x v="1"/>
    <x v="0"/>
    <x v="33"/>
    <x v="9"/>
    <x v="10"/>
    <x v="3"/>
  </r>
  <r>
    <s v="TX501979"/>
    <x v="8"/>
    <x v="2"/>
    <n v="33.5"/>
    <n v="100.5"/>
    <x v="72"/>
    <x v="81"/>
    <x v="1"/>
    <x v="0"/>
    <x v="2"/>
    <x v="0"/>
    <x v="22"/>
    <x v="13"/>
    <x v="10"/>
    <x v="1"/>
  </r>
  <r>
    <s v="TX501980"/>
    <x v="4"/>
    <x v="7"/>
    <n v="36"/>
    <n v="360"/>
    <x v="72"/>
    <x v="67"/>
    <x v="1"/>
    <x v="3"/>
    <x v="2"/>
    <x v="0"/>
    <x v="3"/>
    <x v="7"/>
    <x v="10"/>
    <x v="1"/>
  </r>
  <r>
    <s v="TX501981"/>
    <x v="16"/>
    <x v="2"/>
    <n v="57.3"/>
    <n v="171.89999999999998"/>
    <x v="72"/>
    <x v="73"/>
    <x v="2"/>
    <x v="0"/>
    <x v="2"/>
    <x v="0"/>
    <x v="3"/>
    <x v="5"/>
    <x v="10"/>
    <x v="2"/>
  </r>
  <r>
    <s v="TX501982"/>
    <x v="1"/>
    <x v="0"/>
    <n v="81.400000000000006"/>
    <n v="81.400000000000006"/>
    <x v="72"/>
    <x v="72"/>
    <x v="2"/>
    <x v="2"/>
    <x v="2"/>
    <x v="0"/>
    <x v="3"/>
    <x v="3"/>
    <x v="10"/>
    <x v="2"/>
  </r>
  <r>
    <s v="TX501983"/>
    <x v="10"/>
    <x v="1"/>
    <n v="35.299999999999997"/>
    <n v="70.599999999999994"/>
    <x v="72"/>
    <x v="73"/>
    <x v="1"/>
    <x v="0"/>
    <x v="2"/>
    <x v="0"/>
    <x v="3"/>
    <x v="5"/>
    <x v="10"/>
    <x v="1"/>
  </r>
  <r>
    <s v="TX501984"/>
    <x v="3"/>
    <x v="0"/>
    <n v="36.1"/>
    <n v="36.1"/>
    <x v="72"/>
    <x v="72"/>
    <x v="2"/>
    <x v="4"/>
    <x v="0"/>
    <x v="0"/>
    <x v="3"/>
    <x v="3"/>
    <x v="10"/>
    <x v="2"/>
  </r>
  <r>
    <s v="TX501985"/>
    <x v="1"/>
    <x v="1"/>
    <n v="36.700000000000003"/>
    <n v="73.400000000000006"/>
    <x v="72"/>
    <x v="69"/>
    <x v="2"/>
    <x v="0"/>
    <x v="2"/>
    <x v="0"/>
    <x v="3"/>
    <x v="1"/>
    <x v="10"/>
    <x v="2"/>
  </r>
  <r>
    <s v="TX501986"/>
    <x v="10"/>
    <x v="0"/>
    <n v="20.9"/>
    <n v="20.9"/>
    <x v="72"/>
    <x v="69"/>
    <x v="2"/>
    <x v="0"/>
    <x v="4"/>
    <x v="0"/>
    <x v="3"/>
    <x v="1"/>
    <x v="10"/>
    <x v="2"/>
  </r>
  <r>
    <s v="TX501987"/>
    <x v="12"/>
    <x v="2"/>
    <n v="58.8"/>
    <n v="176.39999999999998"/>
    <x v="72"/>
    <x v="73"/>
    <x v="1"/>
    <x v="0"/>
    <x v="2"/>
    <x v="0"/>
    <x v="25"/>
    <x v="5"/>
    <x v="10"/>
    <x v="1"/>
  </r>
  <r>
    <s v="TX501988"/>
    <x v="2"/>
    <x v="2"/>
    <n v="97.6"/>
    <n v="292.79999999999995"/>
    <x v="73"/>
    <x v="76"/>
    <x v="0"/>
    <x v="0"/>
    <x v="0"/>
    <x v="0"/>
    <x v="6"/>
    <x v="1"/>
    <x v="10"/>
    <x v="0"/>
  </r>
  <r>
    <s v="TX501989"/>
    <x v="1"/>
    <x v="1"/>
    <n v="58.7"/>
    <n v="117.4"/>
    <x v="73"/>
    <x v="73"/>
    <x v="2"/>
    <x v="0"/>
    <x v="1"/>
    <x v="0"/>
    <x v="6"/>
    <x v="2"/>
    <x v="10"/>
    <x v="2"/>
  </r>
  <r>
    <s v="TX501990"/>
    <x v="6"/>
    <x v="9"/>
    <n v="71.900000000000006"/>
    <n v="359.5"/>
    <x v="73"/>
    <x v="69"/>
    <x v="0"/>
    <x v="0"/>
    <x v="1"/>
    <x v="0"/>
    <x v="6"/>
    <x v="3"/>
    <x v="10"/>
    <x v="0"/>
  </r>
  <r>
    <s v="TX501991"/>
    <x v="1"/>
    <x v="1"/>
    <n v="62.4"/>
    <n v="124.8"/>
    <x v="73"/>
    <x v="76"/>
    <x v="0"/>
    <x v="0"/>
    <x v="1"/>
    <x v="0"/>
    <x v="8"/>
    <x v="1"/>
    <x v="10"/>
    <x v="0"/>
  </r>
  <r>
    <s v="TX501992"/>
    <x v="6"/>
    <x v="27"/>
    <n v="53.8"/>
    <n v="860.8"/>
    <x v="73"/>
    <x v="69"/>
    <x v="2"/>
    <x v="1"/>
    <x v="0"/>
    <x v="0"/>
    <x v="8"/>
    <x v="3"/>
    <x v="10"/>
    <x v="2"/>
  </r>
  <r>
    <s v="TX501993"/>
    <x v="9"/>
    <x v="0"/>
    <n v="43.8"/>
    <n v="43.8"/>
    <x v="73"/>
    <x v="80"/>
    <x v="2"/>
    <x v="0"/>
    <x v="2"/>
    <x v="0"/>
    <x v="8"/>
    <x v="6"/>
    <x v="10"/>
    <x v="2"/>
  </r>
  <r>
    <s v="TX501994"/>
    <x v="5"/>
    <x v="2"/>
    <n v="53.6"/>
    <n v="160.80000000000001"/>
    <x v="73"/>
    <x v="69"/>
    <x v="1"/>
    <x v="3"/>
    <x v="0"/>
    <x v="0"/>
    <x v="8"/>
    <x v="3"/>
    <x v="10"/>
    <x v="1"/>
  </r>
  <r>
    <s v="TX501995"/>
    <x v="12"/>
    <x v="1"/>
    <n v="84.3"/>
    <n v="168.6"/>
    <x v="73"/>
    <x v="73"/>
    <x v="1"/>
    <x v="4"/>
    <x v="1"/>
    <x v="0"/>
    <x v="8"/>
    <x v="2"/>
    <x v="10"/>
    <x v="1"/>
  </r>
  <r>
    <s v="TX501996"/>
    <x v="6"/>
    <x v="11"/>
    <n v="117.9"/>
    <n v="1061.1000000000001"/>
    <x v="73"/>
    <x v="69"/>
    <x v="2"/>
    <x v="1"/>
    <x v="2"/>
    <x v="0"/>
    <x v="8"/>
    <x v="3"/>
    <x v="10"/>
    <x v="2"/>
  </r>
  <r>
    <s v="TX501997"/>
    <x v="4"/>
    <x v="8"/>
    <n v="30"/>
    <n v="240"/>
    <x v="73"/>
    <x v="69"/>
    <x v="2"/>
    <x v="1"/>
    <x v="0"/>
    <x v="0"/>
    <x v="26"/>
    <x v="3"/>
    <x v="10"/>
    <x v="2"/>
  </r>
  <r>
    <s v="TX501998"/>
    <x v="14"/>
    <x v="2"/>
    <n v="37.299999999999997"/>
    <n v="111.89999999999999"/>
    <x v="73"/>
    <x v="69"/>
    <x v="1"/>
    <x v="2"/>
    <x v="0"/>
    <x v="0"/>
    <x v="9"/>
    <x v="3"/>
    <x v="10"/>
    <x v="1"/>
  </r>
  <r>
    <s v="TX501999"/>
    <x v="4"/>
    <x v="11"/>
    <n v="25.1"/>
    <n v="225.9"/>
    <x v="73"/>
    <x v="76"/>
    <x v="1"/>
    <x v="1"/>
    <x v="2"/>
    <x v="0"/>
    <x v="11"/>
    <x v="1"/>
    <x v="10"/>
    <x v="1"/>
  </r>
  <r>
    <s v="TX502000"/>
    <x v="8"/>
    <x v="5"/>
    <n v="36"/>
    <n v="396"/>
    <x v="73"/>
    <x v="82"/>
    <x v="1"/>
    <x v="1"/>
    <x v="0"/>
    <x v="0"/>
    <x v="18"/>
    <x v="14"/>
    <x v="10"/>
    <x v="1"/>
  </r>
  <r>
    <s v="TX502001"/>
    <x v="16"/>
    <x v="2"/>
    <n v="48.5"/>
    <n v="145.5"/>
    <x v="73"/>
    <x v="83"/>
    <x v="2"/>
    <x v="1"/>
    <x v="0"/>
    <x v="0"/>
    <x v="19"/>
    <x v="5"/>
    <x v="10"/>
    <x v="2"/>
  </r>
  <r>
    <s v="TX502002"/>
    <x v="17"/>
    <x v="13"/>
    <n v="21.1"/>
    <n v="126.60000000000001"/>
    <x v="73"/>
    <x v="69"/>
    <x v="1"/>
    <x v="1"/>
    <x v="2"/>
    <x v="0"/>
    <x v="21"/>
    <x v="3"/>
    <x v="10"/>
    <x v="1"/>
  </r>
  <r>
    <s v="TX502003"/>
    <x v="15"/>
    <x v="21"/>
    <n v="43.2"/>
    <n v="604.80000000000007"/>
    <x v="73"/>
    <x v="69"/>
    <x v="3"/>
    <x v="0"/>
    <x v="1"/>
    <x v="0"/>
    <x v="21"/>
    <x v="3"/>
    <x v="10"/>
    <x v="3"/>
  </r>
  <r>
    <s v="TX502004"/>
    <x v="9"/>
    <x v="1"/>
    <n v="21.1"/>
    <n v="42.2"/>
    <x v="73"/>
    <x v="69"/>
    <x v="0"/>
    <x v="3"/>
    <x v="1"/>
    <x v="0"/>
    <x v="21"/>
    <x v="3"/>
    <x v="10"/>
    <x v="0"/>
  </r>
  <r>
    <s v="TX502005"/>
    <x v="6"/>
    <x v="12"/>
    <n v="41.3"/>
    <n v="165.2"/>
    <x v="73"/>
    <x v="76"/>
    <x v="2"/>
    <x v="3"/>
    <x v="2"/>
    <x v="0"/>
    <x v="1"/>
    <x v="1"/>
    <x v="10"/>
    <x v="2"/>
  </r>
  <r>
    <s v="TX502006"/>
    <x v="8"/>
    <x v="1"/>
    <n v="15.3"/>
    <n v="30.6"/>
    <x v="73"/>
    <x v="73"/>
    <x v="0"/>
    <x v="2"/>
    <x v="2"/>
    <x v="0"/>
    <x v="1"/>
    <x v="2"/>
    <x v="10"/>
    <x v="0"/>
  </r>
  <r>
    <s v="TX502007"/>
    <x v="1"/>
    <x v="0"/>
    <n v="54.6"/>
    <n v="54.6"/>
    <x v="73"/>
    <x v="76"/>
    <x v="1"/>
    <x v="1"/>
    <x v="1"/>
    <x v="0"/>
    <x v="2"/>
    <x v="1"/>
    <x v="10"/>
    <x v="1"/>
  </r>
  <r>
    <s v="TX502008"/>
    <x v="8"/>
    <x v="0"/>
    <n v="15.9"/>
    <n v="15.9"/>
    <x v="73"/>
    <x v="69"/>
    <x v="1"/>
    <x v="0"/>
    <x v="1"/>
    <x v="0"/>
    <x v="22"/>
    <x v="3"/>
    <x v="10"/>
    <x v="1"/>
  </r>
  <r>
    <s v="TX502009"/>
    <x v="9"/>
    <x v="0"/>
    <n v="50.2"/>
    <n v="50.2"/>
    <x v="73"/>
    <x v="76"/>
    <x v="2"/>
    <x v="3"/>
    <x v="2"/>
    <x v="0"/>
    <x v="34"/>
    <x v="1"/>
    <x v="10"/>
    <x v="2"/>
  </r>
  <r>
    <s v="TX502010"/>
    <x v="11"/>
    <x v="12"/>
    <n v="85.1"/>
    <n v="340.4"/>
    <x v="73"/>
    <x v="69"/>
    <x v="2"/>
    <x v="3"/>
    <x v="4"/>
    <x v="0"/>
    <x v="34"/>
    <x v="3"/>
    <x v="10"/>
    <x v="2"/>
  </r>
  <r>
    <s v="TX502011"/>
    <x v="11"/>
    <x v="1"/>
    <n v="41.4"/>
    <n v="82.8"/>
    <x v="73"/>
    <x v="69"/>
    <x v="2"/>
    <x v="0"/>
    <x v="2"/>
    <x v="0"/>
    <x v="3"/>
    <x v="3"/>
    <x v="10"/>
    <x v="2"/>
  </r>
  <r>
    <s v="TX502012"/>
    <x v="4"/>
    <x v="3"/>
    <n v="32.700000000000003"/>
    <n v="228.90000000000003"/>
    <x v="73"/>
    <x v="69"/>
    <x v="2"/>
    <x v="2"/>
    <x v="1"/>
    <x v="0"/>
    <x v="3"/>
    <x v="3"/>
    <x v="10"/>
    <x v="2"/>
  </r>
  <r>
    <s v="TX502013"/>
    <x v="4"/>
    <x v="1"/>
    <n v="41.6"/>
    <n v="83.2"/>
    <x v="73"/>
    <x v="76"/>
    <x v="1"/>
    <x v="4"/>
    <x v="1"/>
    <x v="0"/>
    <x v="3"/>
    <x v="1"/>
    <x v="10"/>
    <x v="1"/>
  </r>
  <r>
    <s v="TX502014"/>
    <x v="5"/>
    <x v="12"/>
    <n v="64.8"/>
    <n v="259.2"/>
    <x v="73"/>
    <x v="69"/>
    <x v="0"/>
    <x v="2"/>
    <x v="0"/>
    <x v="0"/>
    <x v="3"/>
    <x v="3"/>
    <x v="10"/>
    <x v="0"/>
  </r>
  <r>
    <s v="TX502015"/>
    <x v="15"/>
    <x v="1"/>
    <n v="33.6"/>
    <n v="67.2"/>
    <x v="73"/>
    <x v="69"/>
    <x v="1"/>
    <x v="0"/>
    <x v="2"/>
    <x v="0"/>
    <x v="3"/>
    <x v="3"/>
    <x v="10"/>
    <x v="1"/>
  </r>
  <r>
    <s v="TX502016"/>
    <x v="6"/>
    <x v="2"/>
    <n v="100.7"/>
    <n v="302.10000000000002"/>
    <x v="73"/>
    <x v="69"/>
    <x v="0"/>
    <x v="1"/>
    <x v="0"/>
    <x v="0"/>
    <x v="3"/>
    <x v="3"/>
    <x v="10"/>
    <x v="0"/>
  </r>
  <r>
    <s v="TX502017"/>
    <x v="4"/>
    <x v="1"/>
    <n v="49.3"/>
    <n v="98.6"/>
    <x v="74"/>
    <x v="73"/>
    <x v="2"/>
    <x v="4"/>
    <x v="2"/>
    <x v="0"/>
    <x v="3"/>
    <x v="1"/>
    <x v="11"/>
    <x v="2"/>
  </r>
  <r>
    <s v="TX502018"/>
    <x v="2"/>
    <x v="13"/>
    <n v="97"/>
    <n v="582"/>
    <x v="74"/>
    <x v="83"/>
    <x v="1"/>
    <x v="2"/>
    <x v="2"/>
    <x v="0"/>
    <x v="3"/>
    <x v="2"/>
    <x v="11"/>
    <x v="1"/>
  </r>
  <r>
    <s v="TX502019"/>
    <x v="0"/>
    <x v="13"/>
    <n v="25.2"/>
    <n v="151.19999999999999"/>
    <x v="74"/>
    <x v="83"/>
    <x v="2"/>
    <x v="4"/>
    <x v="2"/>
    <x v="0"/>
    <x v="3"/>
    <x v="2"/>
    <x v="11"/>
    <x v="2"/>
  </r>
  <r>
    <s v="TX502020"/>
    <x v="0"/>
    <x v="5"/>
    <n v="12.2"/>
    <n v="134.19999999999999"/>
    <x v="74"/>
    <x v="76"/>
    <x v="0"/>
    <x v="0"/>
    <x v="1"/>
    <x v="0"/>
    <x v="3"/>
    <x v="3"/>
    <x v="11"/>
    <x v="0"/>
  </r>
  <r>
    <s v="TX502021"/>
    <x v="8"/>
    <x v="3"/>
    <n v="38.799999999999997"/>
    <n v="271.59999999999997"/>
    <x v="74"/>
    <x v="73"/>
    <x v="2"/>
    <x v="1"/>
    <x v="1"/>
    <x v="0"/>
    <x v="23"/>
    <x v="1"/>
    <x v="11"/>
    <x v="2"/>
  </r>
  <r>
    <s v="TX502022"/>
    <x v="2"/>
    <x v="12"/>
    <n v="53.2"/>
    <n v="212.8"/>
    <x v="74"/>
    <x v="76"/>
    <x v="1"/>
    <x v="0"/>
    <x v="2"/>
    <x v="0"/>
    <x v="8"/>
    <x v="3"/>
    <x v="11"/>
    <x v="1"/>
  </r>
  <r>
    <s v="TX502023"/>
    <x v="6"/>
    <x v="3"/>
    <n v="151"/>
    <n v="1057"/>
    <x v="74"/>
    <x v="76"/>
    <x v="3"/>
    <x v="1"/>
    <x v="1"/>
    <x v="0"/>
    <x v="8"/>
    <x v="3"/>
    <x v="11"/>
    <x v="3"/>
  </r>
  <r>
    <s v="TX502024"/>
    <x v="1"/>
    <x v="1"/>
    <n v="37.1"/>
    <n v="74.2"/>
    <x v="74"/>
    <x v="76"/>
    <x v="2"/>
    <x v="4"/>
    <x v="0"/>
    <x v="0"/>
    <x v="8"/>
    <x v="3"/>
    <x v="11"/>
    <x v="2"/>
  </r>
  <r>
    <s v="TX502025"/>
    <x v="5"/>
    <x v="1"/>
    <n v="38.9"/>
    <n v="77.8"/>
    <x v="74"/>
    <x v="76"/>
    <x v="1"/>
    <x v="4"/>
    <x v="0"/>
    <x v="0"/>
    <x v="8"/>
    <x v="3"/>
    <x v="11"/>
    <x v="1"/>
  </r>
  <r>
    <s v="TX502026"/>
    <x v="10"/>
    <x v="1"/>
    <n v="35.200000000000003"/>
    <n v="70.400000000000006"/>
    <x v="74"/>
    <x v="76"/>
    <x v="1"/>
    <x v="0"/>
    <x v="2"/>
    <x v="0"/>
    <x v="17"/>
    <x v="3"/>
    <x v="11"/>
    <x v="1"/>
  </r>
  <r>
    <s v="TX502027"/>
    <x v="0"/>
    <x v="1"/>
    <n v="22.3"/>
    <n v="44.6"/>
    <x v="74"/>
    <x v="73"/>
    <x v="2"/>
    <x v="1"/>
    <x v="0"/>
    <x v="0"/>
    <x v="9"/>
    <x v="1"/>
    <x v="11"/>
    <x v="2"/>
  </r>
  <r>
    <s v="TX502028"/>
    <x v="9"/>
    <x v="0"/>
    <n v="43.3"/>
    <n v="43.3"/>
    <x v="74"/>
    <x v="83"/>
    <x v="2"/>
    <x v="0"/>
    <x v="2"/>
    <x v="0"/>
    <x v="11"/>
    <x v="2"/>
    <x v="11"/>
    <x v="2"/>
  </r>
  <r>
    <s v="TX502029"/>
    <x v="6"/>
    <x v="13"/>
    <n v="75.900000000000006"/>
    <n v="455.40000000000003"/>
    <x v="74"/>
    <x v="80"/>
    <x v="1"/>
    <x v="0"/>
    <x v="0"/>
    <x v="0"/>
    <x v="11"/>
    <x v="4"/>
    <x v="11"/>
    <x v="1"/>
  </r>
  <r>
    <s v="TX502030"/>
    <x v="6"/>
    <x v="2"/>
    <n v="78.7"/>
    <n v="236.10000000000002"/>
    <x v="74"/>
    <x v="78"/>
    <x v="2"/>
    <x v="2"/>
    <x v="1"/>
    <x v="0"/>
    <x v="11"/>
    <x v="5"/>
    <x v="11"/>
    <x v="2"/>
  </r>
  <r>
    <s v="TX502031"/>
    <x v="1"/>
    <x v="0"/>
    <n v="66.3"/>
    <n v="66.3"/>
    <x v="74"/>
    <x v="78"/>
    <x v="2"/>
    <x v="0"/>
    <x v="2"/>
    <x v="0"/>
    <x v="19"/>
    <x v="5"/>
    <x v="11"/>
    <x v="2"/>
  </r>
  <r>
    <s v="TX502032"/>
    <x v="8"/>
    <x v="1"/>
    <n v="33.6"/>
    <n v="67.2"/>
    <x v="74"/>
    <x v="69"/>
    <x v="1"/>
    <x v="0"/>
    <x v="1"/>
    <x v="0"/>
    <x v="19"/>
    <x v="7"/>
    <x v="11"/>
    <x v="1"/>
  </r>
  <r>
    <s v="TX502033"/>
    <x v="2"/>
    <x v="3"/>
    <n v="61.4"/>
    <n v="429.8"/>
    <x v="74"/>
    <x v="76"/>
    <x v="1"/>
    <x v="4"/>
    <x v="0"/>
    <x v="0"/>
    <x v="19"/>
    <x v="3"/>
    <x v="11"/>
    <x v="1"/>
  </r>
  <r>
    <s v="TX502034"/>
    <x v="8"/>
    <x v="1"/>
    <n v="17.5"/>
    <n v="35"/>
    <x v="74"/>
    <x v="83"/>
    <x v="2"/>
    <x v="0"/>
    <x v="0"/>
    <x v="0"/>
    <x v="21"/>
    <x v="2"/>
    <x v="11"/>
    <x v="2"/>
  </r>
  <r>
    <s v="TX502035"/>
    <x v="8"/>
    <x v="1"/>
    <n v="32.5"/>
    <n v="65"/>
    <x v="74"/>
    <x v="83"/>
    <x v="2"/>
    <x v="1"/>
    <x v="0"/>
    <x v="0"/>
    <x v="21"/>
    <x v="2"/>
    <x v="11"/>
    <x v="2"/>
  </r>
  <r>
    <s v="TX502036"/>
    <x v="4"/>
    <x v="0"/>
    <n v="34.6"/>
    <n v="34.6"/>
    <x v="74"/>
    <x v="76"/>
    <x v="2"/>
    <x v="4"/>
    <x v="0"/>
    <x v="0"/>
    <x v="21"/>
    <x v="3"/>
    <x v="11"/>
    <x v="2"/>
  </r>
  <r>
    <s v="TX502037"/>
    <x v="2"/>
    <x v="0"/>
    <n v="75.900000000000006"/>
    <n v="75.900000000000006"/>
    <x v="74"/>
    <x v="69"/>
    <x v="1"/>
    <x v="1"/>
    <x v="2"/>
    <x v="0"/>
    <x v="21"/>
    <x v="7"/>
    <x v="11"/>
    <x v="1"/>
  </r>
  <r>
    <s v="TX502038"/>
    <x v="1"/>
    <x v="2"/>
    <n v="42.1"/>
    <n v="126.30000000000001"/>
    <x v="74"/>
    <x v="83"/>
    <x v="1"/>
    <x v="1"/>
    <x v="1"/>
    <x v="0"/>
    <x v="21"/>
    <x v="2"/>
    <x v="11"/>
    <x v="1"/>
  </r>
  <r>
    <s v="TX502039"/>
    <x v="7"/>
    <x v="2"/>
    <n v="65.3"/>
    <n v="195.89999999999998"/>
    <x v="74"/>
    <x v="79"/>
    <x v="1"/>
    <x v="0"/>
    <x v="0"/>
    <x v="0"/>
    <x v="1"/>
    <x v="6"/>
    <x v="11"/>
    <x v="1"/>
  </r>
  <r>
    <s v="TX502040"/>
    <x v="15"/>
    <x v="0"/>
    <n v="20.6"/>
    <n v="20.6"/>
    <x v="74"/>
    <x v="83"/>
    <x v="1"/>
    <x v="3"/>
    <x v="0"/>
    <x v="0"/>
    <x v="42"/>
    <x v="2"/>
    <x v="11"/>
    <x v="1"/>
  </r>
  <r>
    <s v="TX502041"/>
    <x v="8"/>
    <x v="3"/>
    <n v="16.5"/>
    <n v="115.5"/>
    <x v="74"/>
    <x v="76"/>
    <x v="1"/>
    <x v="1"/>
    <x v="1"/>
    <x v="0"/>
    <x v="2"/>
    <x v="3"/>
    <x v="11"/>
    <x v="1"/>
  </r>
  <r>
    <s v="TX502042"/>
    <x v="16"/>
    <x v="7"/>
    <n v="36.200000000000003"/>
    <n v="362"/>
    <x v="74"/>
    <x v="73"/>
    <x v="1"/>
    <x v="0"/>
    <x v="2"/>
    <x v="0"/>
    <x v="2"/>
    <x v="1"/>
    <x v="11"/>
    <x v="1"/>
  </r>
  <r>
    <s v="TX502043"/>
    <x v="6"/>
    <x v="0"/>
    <n v="53.2"/>
    <n v="53.2"/>
    <x v="74"/>
    <x v="76"/>
    <x v="2"/>
    <x v="0"/>
    <x v="1"/>
    <x v="0"/>
    <x v="22"/>
    <x v="3"/>
    <x v="11"/>
    <x v="2"/>
  </r>
  <r>
    <s v="TX502044"/>
    <x v="2"/>
    <x v="21"/>
    <n v="176"/>
    <n v="2464"/>
    <x v="74"/>
    <x v="76"/>
    <x v="2"/>
    <x v="0"/>
    <x v="1"/>
    <x v="0"/>
    <x v="3"/>
    <x v="3"/>
    <x v="11"/>
    <x v="2"/>
  </r>
  <r>
    <s v="TX502045"/>
    <x v="1"/>
    <x v="0"/>
    <n v="52.4"/>
    <n v="52.4"/>
    <x v="74"/>
    <x v="76"/>
    <x v="1"/>
    <x v="1"/>
    <x v="0"/>
    <x v="0"/>
    <x v="3"/>
    <x v="3"/>
    <x v="11"/>
    <x v="1"/>
  </r>
  <r>
    <s v="TX502046"/>
    <x v="10"/>
    <x v="2"/>
    <n v="48.2"/>
    <n v="144.60000000000002"/>
    <x v="74"/>
    <x v="76"/>
    <x v="2"/>
    <x v="1"/>
    <x v="2"/>
    <x v="0"/>
    <x v="3"/>
    <x v="3"/>
    <x v="11"/>
    <x v="2"/>
  </r>
  <r>
    <s v="TX502047"/>
    <x v="15"/>
    <x v="0"/>
    <n v="51.6"/>
    <n v="51.6"/>
    <x v="74"/>
    <x v="78"/>
    <x v="2"/>
    <x v="2"/>
    <x v="1"/>
    <x v="0"/>
    <x v="3"/>
    <x v="5"/>
    <x v="11"/>
    <x v="2"/>
  </r>
  <r>
    <s v="TX502048"/>
    <x v="0"/>
    <x v="12"/>
    <n v="33.700000000000003"/>
    <n v="134.80000000000001"/>
    <x v="75"/>
    <x v="73"/>
    <x v="1"/>
    <x v="0"/>
    <x v="0"/>
    <x v="0"/>
    <x v="3"/>
    <x v="3"/>
    <x v="11"/>
    <x v="1"/>
  </r>
  <r>
    <s v="TX502049"/>
    <x v="4"/>
    <x v="7"/>
    <n v="36.299999999999997"/>
    <n v="363"/>
    <x v="75"/>
    <x v="83"/>
    <x v="2"/>
    <x v="4"/>
    <x v="1"/>
    <x v="0"/>
    <x v="3"/>
    <x v="1"/>
    <x v="11"/>
    <x v="2"/>
  </r>
  <r>
    <s v="TX502050"/>
    <x v="8"/>
    <x v="0"/>
    <n v="23.4"/>
    <n v="23.4"/>
    <x v="75"/>
    <x v="80"/>
    <x v="2"/>
    <x v="1"/>
    <x v="2"/>
    <x v="0"/>
    <x v="3"/>
    <x v="0"/>
    <x v="11"/>
    <x v="2"/>
  </r>
  <r>
    <s v="TX502051"/>
    <x v="15"/>
    <x v="8"/>
    <n v="56.6"/>
    <n v="452.8"/>
    <x v="75"/>
    <x v="83"/>
    <x v="2"/>
    <x v="1"/>
    <x v="0"/>
    <x v="0"/>
    <x v="3"/>
    <x v="1"/>
    <x v="11"/>
    <x v="2"/>
  </r>
  <r>
    <s v="TX502052"/>
    <x v="15"/>
    <x v="1"/>
    <n v="26.8"/>
    <n v="53.6"/>
    <x v="75"/>
    <x v="73"/>
    <x v="1"/>
    <x v="0"/>
    <x v="0"/>
    <x v="0"/>
    <x v="4"/>
    <x v="3"/>
    <x v="11"/>
    <x v="1"/>
  </r>
  <r>
    <s v="TX502053"/>
    <x v="0"/>
    <x v="2"/>
    <n v="11.3"/>
    <n v="33.900000000000006"/>
    <x v="75"/>
    <x v="83"/>
    <x v="1"/>
    <x v="2"/>
    <x v="0"/>
    <x v="0"/>
    <x v="25"/>
    <x v="1"/>
    <x v="11"/>
    <x v="1"/>
  </r>
  <r>
    <s v="TX502054"/>
    <x v="6"/>
    <x v="2"/>
    <n v="60.1"/>
    <n v="180.3"/>
    <x v="75"/>
    <x v="78"/>
    <x v="2"/>
    <x v="0"/>
    <x v="0"/>
    <x v="0"/>
    <x v="7"/>
    <x v="2"/>
    <x v="11"/>
    <x v="2"/>
  </r>
  <r>
    <s v="TX502055"/>
    <x v="0"/>
    <x v="5"/>
    <n v="27.7"/>
    <n v="304.7"/>
    <x v="75"/>
    <x v="80"/>
    <x v="2"/>
    <x v="0"/>
    <x v="0"/>
    <x v="0"/>
    <x v="8"/>
    <x v="0"/>
    <x v="11"/>
    <x v="2"/>
  </r>
  <r>
    <s v="TX502056"/>
    <x v="15"/>
    <x v="0"/>
    <n v="71.400000000000006"/>
    <n v="71.400000000000006"/>
    <x v="75"/>
    <x v="78"/>
    <x v="1"/>
    <x v="0"/>
    <x v="2"/>
    <x v="0"/>
    <x v="8"/>
    <x v="2"/>
    <x v="11"/>
    <x v="1"/>
  </r>
  <r>
    <s v="TX502057"/>
    <x v="2"/>
    <x v="1"/>
    <n v="66.7"/>
    <n v="133.4"/>
    <x v="75"/>
    <x v="73"/>
    <x v="2"/>
    <x v="0"/>
    <x v="2"/>
    <x v="0"/>
    <x v="8"/>
    <x v="3"/>
    <x v="11"/>
    <x v="2"/>
  </r>
  <r>
    <s v="TX502058"/>
    <x v="13"/>
    <x v="9"/>
    <n v="39.1"/>
    <n v="195.5"/>
    <x v="75"/>
    <x v="73"/>
    <x v="2"/>
    <x v="0"/>
    <x v="0"/>
    <x v="0"/>
    <x v="8"/>
    <x v="3"/>
    <x v="11"/>
    <x v="2"/>
  </r>
  <r>
    <s v="TX502059"/>
    <x v="8"/>
    <x v="12"/>
    <n v="24.9"/>
    <n v="99.6"/>
    <x v="75"/>
    <x v="80"/>
    <x v="1"/>
    <x v="1"/>
    <x v="2"/>
    <x v="0"/>
    <x v="8"/>
    <x v="0"/>
    <x v="11"/>
    <x v="1"/>
  </r>
  <r>
    <s v="TX502060"/>
    <x v="5"/>
    <x v="9"/>
    <n v="29.2"/>
    <n v="146"/>
    <x v="75"/>
    <x v="73"/>
    <x v="1"/>
    <x v="0"/>
    <x v="2"/>
    <x v="0"/>
    <x v="17"/>
    <x v="3"/>
    <x v="11"/>
    <x v="1"/>
  </r>
  <r>
    <s v="TX502061"/>
    <x v="13"/>
    <x v="21"/>
    <n v="28.3"/>
    <n v="396.2"/>
    <x v="75"/>
    <x v="83"/>
    <x v="2"/>
    <x v="1"/>
    <x v="0"/>
    <x v="0"/>
    <x v="11"/>
    <x v="1"/>
    <x v="11"/>
    <x v="2"/>
  </r>
  <r>
    <s v="TX502062"/>
    <x v="9"/>
    <x v="2"/>
    <n v="37.799999999999997"/>
    <n v="113.39999999999999"/>
    <x v="75"/>
    <x v="73"/>
    <x v="2"/>
    <x v="0"/>
    <x v="1"/>
    <x v="0"/>
    <x v="11"/>
    <x v="3"/>
    <x v="11"/>
    <x v="2"/>
  </r>
  <r>
    <s v="TX502063"/>
    <x v="14"/>
    <x v="3"/>
    <n v="28.1"/>
    <n v="196.70000000000002"/>
    <x v="75"/>
    <x v="79"/>
    <x v="2"/>
    <x v="2"/>
    <x v="0"/>
    <x v="0"/>
    <x v="11"/>
    <x v="4"/>
    <x v="11"/>
    <x v="2"/>
  </r>
  <r>
    <s v="TX502064"/>
    <x v="1"/>
    <x v="2"/>
    <n v="59.7"/>
    <n v="179.10000000000002"/>
    <x v="75"/>
    <x v="83"/>
    <x v="2"/>
    <x v="2"/>
    <x v="0"/>
    <x v="0"/>
    <x v="11"/>
    <x v="1"/>
    <x v="11"/>
    <x v="2"/>
  </r>
  <r>
    <s v="TX502065"/>
    <x v="16"/>
    <x v="0"/>
    <n v="71.900000000000006"/>
    <n v="71.900000000000006"/>
    <x v="75"/>
    <x v="73"/>
    <x v="1"/>
    <x v="1"/>
    <x v="1"/>
    <x v="0"/>
    <x v="11"/>
    <x v="3"/>
    <x v="11"/>
    <x v="1"/>
  </r>
  <r>
    <s v="TX502066"/>
    <x v="1"/>
    <x v="1"/>
    <n v="56.9"/>
    <n v="113.8"/>
    <x v="75"/>
    <x v="73"/>
    <x v="1"/>
    <x v="2"/>
    <x v="0"/>
    <x v="0"/>
    <x v="13"/>
    <x v="3"/>
    <x v="11"/>
    <x v="1"/>
  </r>
  <r>
    <s v="TX502067"/>
    <x v="8"/>
    <x v="1"/>
    <n v="15.8"/>
    <n v="31.6"/>
    <x v="75"/>
    <x v="78"/>
    <x v="2"/>
    <x v="2"/>
    <x v="1"/>
    <x v="0"/>
    <x v="1"/>
    <x v="2"/>
    <x v="11"/>
    <x v="2"/>
  </r>
  <r>
    <s v="TX502068"/>
    <x v="11"/>
    <x v="12"/>
    <n v="61.7"/>
    <n v="246.8"/>
    <x v="75"/>
    <x v="83"/>
    <x v="2"/>
    <x v="2"/>
    <x v="0"/>
    <x v="0"/>
    <x v="22"/>
    <x v="1"/>
    <x v="11"/>
    <x v="2"/>
  </r>
  <r>
    <s v="TX502069"/>
    <x v="2"/>
    <x v="7"/>
    <n v="105.2"/>
    <n v="1052"/>
    <x v="75"/>
    <x v="83"/>
    <x v="1"/>
    <x v="1"/>
    <x v="4"/>
    <x v="0"/>
    <x v="3"/>
    <x v="1"/>
    <x v="11"/>
    <x v="1"/>
  </r>
  <r>
    <s v="TX502070"/>
    <x v="0"/>
    <x v="1"/>
    <n v="17"/>
    <n v="34"/>
    <x v="75"/>
    <x v="83"/>
    <x v="2"/>
    <x v="2"/>
    <x v="0"/>
    <x v="0"/>
    <x v="3"/>
    <x v="1"/>
    <x v="11"/>
    <x v="2"/>
  </r>
  <r>
    <s v="TX502071"/>
    <x v="6"/>
    <x v="2"/>
    <n v="84.1"/>
    <n v="252.29999999999998"/>
    <x v="75"/>
    <x v="73"/>
    <x v="1"/>
    <x v="2"/>
    <x v="0"/>
    <x v="0"/>
    <x v="3"/>
    <x v="3"/>
    <x v="11"/>
    <x v="1"/>
  </r>
  <r>
    <s v="TX502072"/>
    <x v="3"/>
    <x v="12"/>
    <n v="59.5"/>
    <n v="238"/>
    <x v="75"/>
    <x v="80"/>
    <x v="1"/>
    <x v="0"/>
    <x v="2"/>
    <x v="0"/>
    <x v="3"/>
    <x v="0"/>
    <x v="11"/>
    <x v="1"/>
  </r>
  <r>
    <s v="TX502073"/>
    <x v="8"/>
    <x v="1"/>
    <n v="57.5"/>
    <n v="115"/>
    <x v="75"/>
    <x v="83"/>
    <x v="1"/>
    <x v="1"/>
    <x v="2"/>
    <x v="0"/>
    <x v="3"/>
    <x v="1"/>
    <x v="11"/>
    <x v="1"/>
  </r>
  <r>
    <s v="TX502074"/>
    <x v="8"/>
    <x v="0"/>
    <n v="34.299999999999997"/>
    <n v="34.299999999999997"/>
    <x v="75"/>
    <x v="73"/>
    <x v="2"/>
    <x v="4"/>
    <x v="2"/>
    <x v="0"/>
    <x v="3"/>
    <x v="3"/>
    <x v="11"/>
    <x v="2"/>
  </r>
  <r>
    <s v="TX502075"/>
    <x v="5"/>
    <x v="1"/>
    <n v="27.8"/>
    <n v="55.6"/>
    <x v="76"/>
    <x v="78"/>
    <x v="2"/>
    <x v="0"/>
    <x v="0"/>
    <x v="0"/>
    <x v="3"/>
    <x v="1"/>
    <x v="11"/>
    <x v="2"/>
  </r>
  <r>
    <s v="TX502076"/>
    <x v="12"/>
    <x v="1"/>
    <n v="85"/>
    <n v="170"/>
    <x v="76"/>
    <x v="73"/>
    <x v="1"/>
    <x v="2"/>
    <x v="2"/>
    <x v="0"/>
    <x v="3"/>
    <x v="7"/>
    <x v="11"/>
    <x v="1"/>
  </r>
  <r>
    <s v="TX502077"/>
    <x v="6"/>
    <x v="1"/>
    <n v="95"/>
    <n v="190"/>
    <x v="76"/>
    <x v="78"/>
    <x v="2"/>
    <x v="0"/>
    <x v="0"/>
    <x v="0"/>
    <x v="3"/>
    <x v="1"/>
    <x v="11"/>
    <x v="2"/>
  </r>
  <r>
    <s v="TX502078"/>
    <x v="16"/>
    <x v="1"/>
    <n v="32"/>
    <n v="64"/>
    <x v="76"/>
    <x v="78"/>
    <x v="1"/>
    <x v="0"/>
    <x v="1"/>
    <x v="0"/>
    <x v="3"/>
    <x v="1"/>
    <x v="11"/>
    <x v="1"/>
  </r>
  <r>
    <s v="TX502079"/>
    <x v="2"/>
    <x v="1"/>
    <n v="65.2"/>
    <n v="130.4"/>
    <x v="76"/>
    <x v="83"/>
    <x v="2"/>
    <x v="1"/>
    <x v="0"/>
    <x v="0"/>
    <x v="3"/>
    <x v="3"/>
    <x v="11"/>
    <x v="2"/>
  </r>
  <r>
    <s v="TX502080"/>
    <x v="17"/>
    <x v="12"/>
    <n v="22"/>
    <n v="88"/>
    <x v="76"/>
    <x v="83"/>
    <x v="1"/>
    <x v="1"/>
    <x v="2"/>
    <x v="0"/>
    <x v="3"/>
    <x v="3"/>
    <x v="11"/>
    <x v="1"/>
  </r>
  <r>
    <s v="TX502081"/>
    <x v="15"/>
    <x v="2"/>
    <n v="69.400000000000006"/>
    <n v="208.20000000000002"/>
    <x v="76"/>
    <x v="75"/>
    <x v="1"/>
    <x v="1"/>
    <x v="2"/>
    <x v="0"/>
    <x v="3"/>
    <x v="2"/>
    <x v="11"/>
    <x v="1"/>
  </r>
  <r>
    <s v="TX502082"/>
    <x v="10"/>
    <x v="13"/>
    <n v="31.5"/>
    <n v="189"/>
    <x v="76"/>
    <x v="78"/>
    <x v="2"/>
    <x v="0"/>
    <x v="2"/>
    <x v="0"/>
    <x v="3"/>
    <x v="1"/>
    <x v="11"/>
    <x v="2"/>
  </r>
  <r>
    <s v="TX502083"/>
    <x v="6"/>
    <x v="0"/>
    <n v="45.8"/>
    <n v="45.8"/>
    <x v="76"/>
    <x v="80"/>
    <x v="3"/>
    <x v="0"/>
    <x v="0"/>
    <x v="0"/>
    <x v="3"/>
    <x v="5"/>
    <x v="11"/>
    <x v="3"/>
  </r>
  <r>
    <s v="TX502084"/>
    <x v="19"/>
    <x v="12"/>
    <n v="12.8"/>
    <n v="51.2"/>
    <x v="76"/>
    <x v="82"/>
    <x v="2"/>
    <x v="1"/>
    <x v="1"/>
    <x v="0"/>
    <x v="5"/>
    <x v="6"/>
    <x v="11"/>
    <x v="2"/>
  </r>
  <r>
    <s v="TX502085"/>
    <x v="5"/>
    <x v="2"/>
    <n v="115.3"/>
    <n v="345.9"/>
    <x v="76"/>
    <x v="83"/>
    <x v="2"/>
    <x v="2"/>
    <x v="2"/>
    <x v="0"/>
    <x v="6"/>
    <x v="3"/>
    <x v="11"/>
    <x v="2"/>
  </r>
  <r>
    <s v="TX502086"/>
    <x v="5"/>
    <x v="1"/>
    <n v="85"/>
    <n v="170"/>
    <x v="76"/>
    <x v="78"/>
    <x v="2"/>
    <x v="1"/>
    <x v="0"/>
    <x v="0"/>
    <x v="7"/>
    <x v="1"/>
    <x v="11"/>
    <x v="2"/>
  </r>
  <r>
    <s v="TX502087"/>
    <x v="8"/>
    <x v="2"/>
    <n v="56.6"/>
    <n v="169.8"/>
    <x v="76"/>
    <x v="83"/>
    <x v="2"/>
    <x v="1"/>
    <x v="2"/>
    <x v="0"/>
    <x v="7"/>
    <x v="3"/>
    <x v="11"/>
    <x v="2"/>
  </r>
  <r>
    <s v="TX502088"/>
    <x v="15"/>
    <x v="6"/>
    <n v="46.3"/>
    <n v="1250.0999999999999"/>
    <x v="76"/>
    <x v="75"/>
    <x v="1"/>
    <x v="0"/>
    <x v="0"/>
    <x v="0"/>
    <x v="7"/>
    <x v="2"/>
    <x v="11"/>
    <x v="1"/>
  </r>
  <r>
    <s v="TX502089"/>
    <x v="14"/>
    <x v="12"/>
    <n v="23"/>
    <n v="92"/>
    <x v="76"/>
    <x v="80"/>
    <x v="1"/>
    <x v="3"/>
    <x v="2"/>
    <x v="0"/>
    <x v="7"/>
    <x v="5"/>
    <x v="11"/>
    <x v="1"/>
  </r>
  <r>
    <s v="TX502090"/>
    <x v="8"/>
    <x v="13"/>
    <n v="42.1"/>
    <n v="252.60000000000002"/>
    <x v="76"/>
    <x v="78"/>
    <x v="1"/>
    <x v="4"/>
    <x v="0"/>
    <x v="0"/>
    <x v="8"/>
    <x v="1"/>
    <x v="11"/>
    <x v="1"/>
  </r>
  <r>
    <s v="TX502091"/>
    <x v="5"/>
    <x v="3"/>
    <n v="57.4"/>
    <n v="401.8"/>
    <x v="76"/>
    <x v="80"/>
    <x v="2"/>
    <x v="1"/>
    <x v="4"/>
    <x v="0"/>
    <x v="8"/>
    <x v="5"/>
    <x v="11"/>
    <x v="2"/>
  </r>
  <r>
    <s v="TX502092"/>
    <x v="0"/>
    <x v="13"/>
    <n v="13.2"/>
    <n v="79.199999999999989"/>
    <x v="76"/>
    <x v="80"/>
    <x v="1"/>
    <x v="2"/>
    <x v="0"/>
    <x v="0"/>
    <x v="8"/>
    <x v="5"/>
    <x v="11"/>
    <x v="1"/>
  </r>
  <r>
    <s v="TX502093"/>
    <x v="6"/>
    <x v="2"/>
    <n v="52.3"/>
    <n v="156.89999999999998"/>
    <x v="76"/>
    <x v="83"/>
    <x v="1"/>
    <x v="1"/>
    <x v="0"/>
    <x v="0"/>
    <x v="8"/>
    <x v="3"/>
    <x v="11"/>
    <x v="1"/>
  </r>
  <r>
    <s v="TX502094"/>
    <x v="8"/>
    <x v="1"/>
    <n v="15.7"/>
    <n v="31.4"/>
    <x v="76"/>
    <x v="75"/>
    <x v="1"/>
    <x v="1"/>
    <x v="2"/>
    <x v="0"/>
    <x v="8"/>
    <x v="2"/>
    <x v="11"/>
    <x v="1"/>
  </r>
  <r>
    <s v="TX502095"/>
    <x v="7"/>
    <x v="2"/>
    <n v="35"/>
    <n v="105"/>
    <x v="76"/>
    <x v="75"/>
    <x v="2"/>
    <x v="1"/>
    <x v="2"/>
    <x v="0"/>
    <x v="9"/>
    <x v="2"/>
    <x v="11"/>
    <x v="2"/>
  </r>
  <r>
    <s v="TX502096"/>
    <x v="4"/>
    <x v="2"/>
    <n v="26.6"/>
    <n v="79.800000000000011"/>
    <x v="76"/>
    <x v="73"/>
    <x v="1"/>
    <x v="1"/>
    <x v="2"/>
    <x v="0"/>
    <x v="11"/>
    <x v="7"/>
    <x v="11"/>
    <x v="1"/>
  </r>
  <r>
    <s v="TX502097"/>
    <x v="4"/>
    <x v="8"/>
    <n v="47.9"/>
    <n v="383.2"/>
    <x v="77"/>
    <x v="78"/>
    <x v="2"/>
    <x v="3"/>
    <x v="2"/>
    <x v="0"/>
    <x v="20"/>
    <x v="3"/>
    <x v="11"/>
    <x v="2"/>
  </r>
  <r>
    <s v="TX502098"/>
    <x v="5"/>
    <x v="0"/>
    <n v="80.099999999999994"/>
    <n v="80.099999999999994"/>
    <x v="77"/>
    <x v="78"/>
    <x v="1"/>
    <x v="2"/>
    <x v="0"/>
    <x v="0"/>
    <x v="21"/>
    <x v="3"/>
    <x v="11"/>
    <x v="1"/>
  </r>
  <r>
    <s v="TX502099"/>
    <x v="6"/>
    <x v="9"/>
    <n v="50.4"/>
    <n v="252"/>
    <x v="77"/>
    <x v="78"/>
    <x v="1"/>
    <x v="1"/>
    <x v="2"/>
    <x v="0"/>
    <x v="21"/>
    <x v="3"/>
    <x v="11"/>
    <x v="1"/>
  </r>
  <r>
    <s v="TX502100"/>
    <x v="10"/>
    <x v="3"/>
    <n v="43.3"/>
    <n v="303.09999999999997"/>
    <x v="77"/>
    <x v="78"/>
    <x v="1"/>
    <x v="2"/>
    <x v="0"/>
    <x v="0"/>
    <x v="21"/>
    <x v="3"/>
    <x v="11"/>
    <x v="1"/>
  </r>
  <r>
    <s v="TX502101"/>
    <x v="10"/>
    <x v="12"/>
    <n v="57.5"/>
    <n v="230"/>
    <x v="77"/>
    <x v="78"/>
    <x v="2"/>
    <x v="1"/>
    <x v="2"/>
    <x v="0"/>
    <x v="1"/>
    <x v="3"/>
    <x v="11"/>
    <x v="2"/>
  </r>
  <r>
    <s v="TX502102"/>
    <x v="9"/>
    <x v="15"/>
    <n v="24.8"/>
    <n v="322.40000000000003"/>
    <x v="77"/>
    <x v="78"/>
    <x v="1"/>
    <x v="0"/>
    <x v="0"/>
    <x v="0"/>
    <x v="57"/>
    <x v="3"/>
    <x v="11"/>
    <x v="1"/>
  </r>
  <r>
    <s v="TX502103"/>
    <x v="2"/>
    <x v="11"/>
    <n v="85.7"/>
    <n v="771.30000000000007"/>
    <x v="77"/>
    <x v="78"/>
    <x v="2"/>
    <x v="0"/>
    <x v="0"/>
    <x v="0"/>
    <x v="42"/>
    <x v="3"/>
    <x v="11"/>
    <x v="2"/>
  </r>
  <r>
    <s v="TX502104"/>
    <x v="7"/>
    <x v="0"/>
    <n v="47.1"/>
    <n v="47.1"/>
    <x v="77"/>
    <x v="75"/>
    <x v="2"/>
    <x v="0"/>
    <x v="0"/>
    <x v="0"/>
    <x v="2"/>
    <x v="1"/>
    <x v="11"/>
    <x v="2"/>
  </r>
  <r>
    <s v="TX502105"/>
    <x v="5"/>
    <x v="7"/>
    <n v="83.2"/>
    <n v="832"/>
    <x v="77"/>
    <x v="79"/>
    <x v="2"/>
    <x v="0"/>
    <x v="0"/>
    <x v="0"/>
    <x v="33"/>
    <x v="5"/>
    <x v="11"/>
    <x v="2"/>
  </r>
  <r>
    <s v="TX502106"/>
    <x v="2"/>
    <x v="2"/>
    <n v="157"/>
    <n v="471"/>
    <x v="77"/>
    <x v="75"/>
    <x v="2"/>
    <x v="0"/>
    <x v="2"/>
    <x v="0"/>
    <x v="22"/>
    <x v="1"/>
    <x v="11"/>
    <x v="2"/>
  </r>
  <r>
    <s v="TX502107"/>
    <x v="16"/>
    <x v="12"/>
    <n v="33.700000000000003"/>
    <n v="134.80000000000001"/>
    <x v="77"/>
    <x v="78"/>
    <x v="1"/>
    <x v="2"/>
    <x v="2"/>
    <x v="0"/>
    <x v="22"/>
    <x v="3"/>
    <x v="11"/>
    <x v="1"/>
  </r>
  <r>
    <s v="TX502108"/>
    <x v="2"/>
    <x v="2"/>
    <n v="60.8"/>
    <n v="182.39999999999998"/>
    <x v="77"/>
    <x v="79"/>
    <x v="2"/>
    <x v="1"/>
    <x v="1"/>
    <x v="0"/>
    <x v="3"/>
    <x v="5"/>
    <x v="11"/>
    <x v="2"/>
  </r>
  <r>
    <s v="TX502109"/>
    <x v="7"/>
    <x v="0"/>
    <n v="57.6"/>
    <n v="57.6"/>
    <x v="77"/>
    <x v="78"/>
    <x v="1"/>
    <x v="1"/>
    <x v="4"/>
    <x v="0"/>
    <x v="3"/>
    <x v="3"/>
    <x v="11"/>
    <x v="1"/>
  </r>
  <r>
    <s v="TX502110"/>
    <x v="10"/>
    <x v="0"/>
    <n v="32"/>
    <n v="32"/>
    <x v="77"/>
    <x v="75"/>
    <x v="1"/>
    <x v="0"/>
    <x v="0"/>
    <x v="0"/>
    <x v="3"/>
    <x v="1"/>
    <x v="11"/>
    <x v="1"/>
  </r>
  <r>
    <s v="TX502111"/>
    <x v="10"/>
    <x v="12"/>
    <n v="23.5"/>
    <n v="94"/>
    <x v="77"/>
    <x v="78"/>
    <x v="2"/>
    <x v="0"/>
    <x v="2"/>
    <x v="0"/>
    <x v="3"/>
    <x v="3"/>
    <x v="11"/>
    <x v="2"/>
  </r>
  <r>
    <s v="TX502112"/>
    <x v="12"/>
    <x v="2"/>
    <n v="44.8"/>
    <n v="134.39999999999998"/>
    <x v="77"/>
    <x v="78"/>
    <x v="3"/>
    <x v="4"/>
    <x v="0"/>
    <x v="0"/>
    <x v="3"/>
    <x v="3"/>
    <x v="11"/>
    <x v="3"/>
  </r>
  <r>
    <s v="TX502113"/>
    <x v="0"/>
    <x v="8"/>
    <n v="11.7"/>
    <n v="93.6"/>
    <x v="77"/>
    <x v="78"/>
    <x v="1"/>
    <x v="2"/>
    <x v="2"/>
    <x v="0"/>
    <x v="3"/>
    <x v="3"/>
    <x v="11"/>
    <x v="1"/>
  </r>
  <r>
    <s v="TX502114"/>
    <x v="7"/>
    <x v="1"/>
    <n v="38.799999999999997"/>
    <n v="77.599999999999994"/>
    <x v="77"/>
    <x v="80"/>
    <x v="2"/>
    <x v="2"/>
    <x v="0"/>
    <x v="0"/>
    <x v="3"/>
    <x v="2"/>
    <x v="11"/>
    <x v="2"/>
  </r>
  <r>
    <s v="TX502115"/>
    <x v="5"/>
    <x v="21"/>
    <n v="86.9"/>
    <n v="1216.6000000000001"/>
    <x v="77"/>
    <x v="77"/>
    <x v="2"/>
    <x v="1"/>
    <x v="0"/>
    <x v="0"/>
    <x v="3"/>
    <x v="0"/>
    <x v="11"/>
    <x v="2"/>
  </r>
  <r>
    <s v="TX502116"/>
    <x v="8"/>
    <x v="0"/>
    <n v="18.3"/>
    <n v="18.3"/>
    <x v="77"/>
    <x v="78"/>
    <x v="2"/>
    <x v="0"/>
    <x v="0"/>
    <x v="0"/>
    <x v="3"/>
    <x v="3"/>
    <x v="11"/>
    <x v="2"/>
  </r>
  <r>
    <s v="TX502117"/>
    <x v="5"/>
    <x v="0"/>
    <n v="47.5"/>
    <n v="47.5"/>
    <x v="77"/>
    <x v="79"/>
    <x v="1"/>
    <x v="4"/>
    <x v="2"/>
    <x v="0"/>
    <x v="3"/>
    <x v="5"/>
    <x v="11"/>
    <x v="1"/>
  </r>
  <r>
    <s v="TX502118"/>
    <x v="1"/>
    <x v="1"/>
    <n v="78.599999999999994"/>
    <n v="157.19999999999999"/>
    <x v="77"/>
    <x v="78"/>
    <x v="1"/>
    <x v="2"/>
    <x v="2"/>
    <x v="0"/>
    <x v="3"/>
    <x v="3"/>
    <x v="11"/>
    <x v="1"/>
  </r>
  <r>
    <s v="TX502119"/>
    <x v="6"/>
    <x v="12"/>
    <n v="87.3"/>
    <n v="349.2"/>
    <x v="77"/>
    <x v="78"/>
    <x v="1"/>
    <x v="0"/>
    <x v="0"/>
    <x v="0"/>
    <x v="3"/>
    <x v="3"/>
    <x v="11"/>
    <x v="1"/>
  </r>
  <r>
    <s v="TX502120"/>
    <x v="9"/>
    <x v="1"/>
    <n v="63.2"/>
    <n v="126.4"/>
    <x v="77"/>
    <x v="83"/>
    <x v="1"/>
    <x v="4"/>
    <x v="1"/>
    <x v="0"/>
    <x v="3"/>
    <x v="7"/>
    <x v="11"/>
    <x v="1"/>
  </r>
  <r>
    <s v="TX502121"/>
    <x v="5"/>
    <x v="9"/>
    <n v="33.700000000000003"/>
    <n v="168.5"/>
    <x v="77"/>
    <x v="78"/>
    <x v="2"/>
    <x v="0"/>
    <x v="0"/>
    <x v="0"/>
    <x v="3"/>
    <x v="3"/>
    <x v="11"/>
    <x v="2"/>
  </r>
  <r>
    <s v="TX502122"/>
    <x v="2"/>
    <x v="2"/>
    <n v="107.4"/>
    <n v="322.20000000000005"/>
    <x v="77"/>
    <x v="84"/>
    <x v="2"/>
    <x v="1"/>
    <x v="2"/>
    <x v="0"/>
    <x v="3"/>
    <x v="10"/>
    <x v="11"/>
    <x v="2"/>
  </r>
  <r>
    <s v="TX502123"/>
    <x v="4"/>
    <x v="12"/>
    <n v="22.2"/>
    <n v="88.8"/>
    <x v="77"/>
    <x v="78"/>
    <x v="0"/>
    <x v="1"/>
    <x v="2"/>
    <x v="0"/>
    <x v="24"/>
    <x v="3"/>
    <x v="11"/>
    <x v="0"/>
  </r>
  <r>
    <s v="TX502124"/>
    <x v="18"/>
    <x v="2"/>
    <n v="52.8"/>
    <n v="158.39999999999998"/>
    <x v="77"/>
    <x v="78"/>
    <x v="1"/>
    <x v="3"/>
    <x v="2"/>
    <x v="0"/>
    <x v="24"/>
    <x v="3"/>
    <x v="11"/>
    <x v="1"/>
  </r>
  <r>
    <s v="TX502125"/>
    <x v="8"/>
    <x v="2"/>
    <n v="41.5"/>
    <n v="124.5"/>
    <x v="77"/>
    <x v="80"/>
    <x v="2"/>
    <x v="0"/>
    <x v="0"/>
    <x v="0"/>
    <x v="25"/>
    <x v="2"/>
    <x v="11"/>
    <x v="2"/>
  </r>
  <r>
    <s v="TX502126"/>
    <x v="12"/>
    <x v="8"/>
    <n v="103.5"/>
    <n v="828"/>
    <x v="77"/>
    <x v="80"/>
    <x v="2"/>
    <x v="0"/>
    <x v="2"/>
    <x v="0"/>
    <x v="23"/>
    <x v="2"/>
    <x v="11"/>
    <x v="2"/>
  </r>
  <r>
    <s v="TX502127"/>
    <x v="4"/>
    <x v="21"/>
    <n v="37.5"/>
    <n v="525"/>
    <x v="77"/>
    <x v="83"/>
    <x v="2"/>
    <x v="1"/>
    <x v="2"/>
    <x v="0"/>
    <x v="6"/>
    <x v="7"/>
    <x v="11"/>
    <x v="2"/>
  </r>
  <r>
    <s v="TX502128"/>
    <x v="15"/>
    <x v="8"/>
    <n v="44.4"/>
    <n v="355.2"/>
    <x v="77"/>
    <x v="82"/>
    <x v="2"/>
    <x v="3"/>
    <x v="2"/>
    <x v="0"/>
    <x v="7"/>
    <x v="4"/>
    <x v="11"/>
    <x v="2"/>
  </r>
  <r>
    <s v="TX502129"/>
    <x v="8"/>
    <x v="2"/>
    <n v="26.2"/>
    <n v="78.599999999999994"/>
    <x v="77"/>
    <x v="78"/>
    <x v="1"/>
    <x v="0"/>
    <x v="0"/>
    <x v="0"/>
    <x v="8"/>
    <x v="3"/>
    <x v="11"/>
    <x v="1"/>
  </r>
  <r>
    <s v="TX502130"/>
    <x v="1"/>
    <x v="3"/>
    <n v="32.200000000000003"/>
    <n v="225.40000000000003"/>
    <x v="77"/>
    <x v="78"/>
    <x v="2"/>
    <x v="1"/>
    <x v="2"/>
    <x v="0"/>
    <x v="8"/>
    <x v="3"/>
    <x v="11"/>
    <x v="2"/>
  </r>
  <r>
    <s v="TX502131"/>
    <x v="8"/>
    <x v="0"/>
    <n v="17.399999999999999"/>
    <n v="17.399999999999999"/>
    <x v="77"/>
    <x v="79"/>
    <x v="0"/>
    <x v="2"/>
    <x v="1"/>
    <x v="0"/>
    <x v="8"/>
    <x v="5"/>
    <x v="11"/>
    <x v="0"/>
  </r>
  <r>
    <s v="TX502132"/>
    <x v="8"/>
    <x v="13"/>
    <n v="72.3"/>
    <n v="433.79999999999995"/>
    <x v="77"/>
    <x v="80"/>
    <x v="2"/>
    <x v="0"/>
    <x v="0"/>
    <x v="0"/>
    <x v="8"/>
    <x v="2"/>
    <x v="11"/>
    <x v="2"/>
  </r>
  <r>
    <s v="TX502133"/>
    <x v="8"/>
    <x v="5"/>
    <n v="24.3"/>
    <n v="267.3"/>
    <x v="77"/>
    <x v="78"/>
    <x v="1"/>
    <x v="0"/>
    <x v="0"/>
    <x v="0"/>
    <x v="8"/>
    <x v="3"/>
    <x v="11"/>
    <x v="1"/>
  </r>
  <r>
    <s v="TX502134"/>
    <x v="13"/>
    <x v="2"/>
    <n v="49.1"/>
    <n v="147.30000000000001"/>
    <x v="77"/>
    <x v="82"/>
    <x v="1"/>
    <x v="2"/>
    <x v="4"/>
    <x v="0"/>
    <x v="8"/>
    <x v="4"/>
    <x v="11"/>
    <x v="1"/>
  </r>
  <r>
    <s v="TX502135"/>
    <x v="2"/>
    <x v="7"/>
    <n v="234.7"/>
    <n v="2347"/>
    <x v="77"/>
    <x v="78"/>
    <x v="1"/>
    <x v="3"/>
    <x v="1"/>
    <x v="0"/>
    <x v="8"/>
    <x v="3"/>
    <x v="11"/>
    <x v="1"/>
  </r>
  <r>
    <s v="TX502136"/>
    <x v="3"/>
    <x v="9"/>
    <n v="76.099999999999994"/>
    <n v="380.5"/>
    <x v="77"/>
    <x v="75"/>
    <x v="1"/>
    <x v="1"/>
    <x v="1"/>
    <x v="0"/>
    <x v="17"/>
    <x v="1"/>
    <x v="11"/>
    <x v="1"/>
  </r>
  <r>
    <s v="TX502137"/>
    <x v="1"/>
    <x v="2"/>
    <n v="93.9"/>
    <n v="281.70000000000005"/>
    <x v="77"/>
    <x v="78"/>
    <x v="1"/>
    <x v="1"/>
    <x v="4"/>
    <x v="0"/>
    <x v="11"/>
    <x v="3"/>
    <x v="11"/>
    <x v="1"/>
  </r>
  <r>
    <s v="TX502138"/>
    <x v="2"/>
    <x v="12"/>
    <n v="187"/>
    <n v="748"/>
    <x v="78"/>
    <x v="79"/>
    <x v="1"/>
    <x v="0"/>
    <x v="0"/>
    <x v="0"/>
    <x v="11"/>
    <x v="2"/>
    <x v="11"/>
    <x v="1"/>
  </r>
  <r>
    <s v="TX502139"/>
    <x v="8"/>
    <x v="1"/>
    <n v="18"/>
    <n v="36"/>
    <x v="78"/>
    <x v="75"/>
    <x v="2"/>
    <x v="1"/>
    <x v="2"/>
    <x v="0"/>
    <x v="53"/>
    <x v="3"/>
    <x v="11"/>
    <x v="2"/>
  </r>
  <r>
    <s v="TX502140"/>
    <x v="4"/>
    <x v="0"/>
    <n v="24.4"/>
    <n v="24.4"/>
    <x v="78"/>
    <x v="75"/>
    <x v="2"/>
    <x v="4"/>
    <x v="2"/>
    <x v="0"/>
    <x v="21"/>
    <x v="3"/>
    <x v="11"/>
    <x v="2"/>
  </r>
  <r>
    <s v="TX502141"/>
    <x v="10"/>
    <x v="1"/>
    <n v="38.799999999999997"/>
    <n v="77.599999999999994"/>
    <x v="78"/>
    <x v="75"/>
    <x v="1"/>
    <x v="4"/>
    <x v="1"/>
    <x v="0"/>
    <x v="3"/>
    <x v="3"/>
    <x v="11"/>
    <x v="1"/>
  </r>
  <r>
    <s v="TX502142"/>
    <x v="3"/>
    <x v="0"/>
    <n v="59.7"/>
    <n v="59.7"/>
    <x v="78"/>
    <x v="79"/>
    <x v="1"/>
    <x v="3"/>
    <x v="0"/>
    <x v="0"/>
    <x v="3"/>
    <x v="2"/>
    <x v="11"/>
    <x v="1"/>
  </r>
  <r>
    <s v="TX502143"/>
    <x v="7"/>
    <x v="0"/>
    <n v="31.2"/>
    <n v="31.2"/>
    <x v="78"/>
    <x v="75"/>
    <x v="1"/>
    <x v="1"/>
    <x v="2"/>
    <x v="0"/>
    <x v="3"/>
    <x v="3"/>
    <x v="11"/>
    <x v="1"/>
  </r>
  <r>
    <s v="TX502144"/>
    <x v="0"/>
    <x v="0"/>
    <n v="16.8"/>
    <n v="16.8"/>
    <x v="78"/>
    <x v="75"/>
    <x v="2"/>
    <x v="2"/>
    <x v="1"/>
    <x v="0"/>
    <x v="3"/>
    <x v="3"/>
    <x v="11"/>
    <x v="2"/>
  </r>
  <r>
    <s v="TX502145"/>
    <x v="8"/>
    <x v="0"/>
    <n v="46"/>
    <n v="46"/>
    <x v="78"/>
    <x v="75"/>
    <x v="1"/>
    <x v="0"/>
    <x v="0"/>
    <x v="0"/>
    <x v="3"/>
    <x v="3"/>
    <x v="11"/>
    <x v="1"/>
  </r>
  <r>
    <s v="TX502146"/>
    <x v="9"/>
    <x v="8"/>
    <n v="42.2"/>
    <n v="337.6"/>
    <x v="78"/>
    <x v="79"/>
    <x v="2"/>
    <x v="3"/>
    <x v="2"/>
    <x v="0"/>
    <x v="3"/>
    <x v="2"/>
    <x v="11"/>
    <x v="2"/>
  </r>
  <r>
    <s v="TX502147"/>
    <x v="1"/>
    <x v="2"/>
    <n v="71.5"/>
    <n v="214.5"/>
    <x v="78"/>
    <x v="85"/>
    <x v="2"/>
    <x v="0"/>
    <x v="0"/>
    <x v="0"/>
    <x v="3"/>
    <x v="12"/>
    <x v="11"/>
    <x v="2"/>
  </r>
  <r>
    <s v="TX502148"/>
    <x v="1"/>
    <x v="1"/>
    <n v="76.599999999999994"/>
    <n v="153.19999999999999"/>
    <x v="78"/>
    <x v="78"/>
    <x v="1"/>
    <x v="0"/>
    <x v="2"/>
    <x v="0"/>
    <x v="3"/>
    <x v="7"/>
    <x v="11"/>
    <x v="1"/>
  </r>
  <r>
    <s v="TX502149"/>
    <x v="12"/>
    <x v="1"/>
    <n v="87.3"/>
    <n v="174.6"/>
    <x v="78"/>
    <x v="86"/>
    <x v="2"/>
    <x v="3"/>
    <x v="2"/>
    <x v="0"/>
    <x v="3"/>
    <x v="9"/>
    <x v="11"/>
    <x v="2"/>
  </r>
  <r>
    <s v="TX502150"/>
    <x v="1"/>
    <x v="0"/>
    <n v="63"/>
    <n v="63"/>
    <x v="78"/>
    <x v="79"/>
    <x v="1"/>
    <x v="3"/>
    <x v="0"/>
    <x v="0"/>
    <x v="3"/>
    <x v="2"/>
    <x v="11"/>
    <x v="1"/>
  </r>
  <r>
    <s v="TX502151"/>
    <x v="8"/>
    <x v="1"/>
    <n v="41.7"/>
    <n v="83.4"/>
    <x v="78"/>
    <x v="75"/>
    <x v="2"/>
    <x v="4"/>
    <x v="1"/>
    <x v="0"/>
    <x v="43"/>
    <x v="3"/>
    <x v="11"/>
    <x v="2"/>
  </r>
  <r>
    <s v="TX502152"/>
    <x v="6"/>
    <x v="1"/>
    <n v="76.099999999999994"/>
    <n v="152.19999999999999"/>
    <x v="78"/>
    <x v="78"/>
    <x v="2"/>
    <x v="4"/>
    <x v="2"/>
    <x v="0"/>
    <x v="16"/>
    <x v="7"/>
    <x v="11"/>
    <x v="2"/>
  </r>
  <r>
    <s v="TX502153"/>
    <x v="13"/>
    <x v="1"/>
    <n v="28.5"/>
    <n v="57"/>
    <x v="78"/>
    <x v="75"/>
    <x v="2"/>
    <x v="0"/>
    <x v="2"/>
    <x v="0"/>
    <x v="4"/>
    <x v="3"/>
    <x v="11"/>
    <x v="2"/>
  </r>
  <r>
    <s v="TX502154"/>
    <x v="0"/>
    <x v="12"/>
    <n v="32.1"/>
    <n v="128.4"/>
    <x v="78"/>
    <x v="75"/>
    <x v="2"/>
    <x v="1"/>
    <x v="2"/>
    <x v="0"/>
    <x v="25"/>
    <x v="3"/>
    <x v="11"/>
    <x v="2"/>
  </r>
  <r>
    <s v="TX502155"/>
    <x v="4"/>
    <x v="2"/>
    <n v="39"/>
    <n v="117"/>
    <x v="78"/>
    <x v="79"/>
    <x v="1"/>
    <x v="1"/>
    <x v="2"/>
    <x v="0"/>
    <x v="25"/>
    <x v="2"/>
    <x v="11"/>
    <x v="1"/>
  </r>
  <r>
    <s v="TX502156"/>
    <x v="6"/>
    <x v="0"/>
    <n v="78.5"/>
    <n v="78.5"/>
    <x v="78"/>
    <x v="75"/>
    <x v="1"/>
    <x v="1"/>
    <x v="0"/>
    <x v="0"/>
    <x v="6"/>
    <x v="3"/>
    <x v="11"/>
    <x v="1"/>
  </r>
  <r>
    <s v="TX502157"/>
    <x v="4"/>
    <x v="9"/>
    <n v="49.7"/>
    <n v="248.5"/>
    <x v="78"/>
    <x v="80"/>
    <x v="2"/>
    <x v="0"/>
    <x v="0"/>
    <x v="0"/>
    <x v="6"/>
    <x v="1"/>
    <x v="11"/>
    <x v="2"/>
  </r>
  <r>
    <s v="TX502158"/>
    <x v="1"/>
    <x v="12"/>
    <n v="68.400000000000006"/>
    <n v="273.60000000000002"/>
    <x v="78"/>
    <x v="75"/>
    <x v="2"/>
    <x v="2"/>
    <x v="2"/>
    <x v="0"/>
    <x v="7"/>
    <x v="3"/>
    <x v="11"/>
    <x v="2"/>
  </r>
  <r>
    <s v="TX502159"/>
    <x v="3"/>
    <x v="1"/>
    <n v="72.900000000000006"/>
    <n v="145.80000000000001"/>
    <x v="78"/>
    <x v="79"/>
    <x v="0"/>
    <x v="0"/>
    <x v="2"/>
    <x v="0"/>
    <x v="7"/>
    <x v="2"/>
    <x v="11"/>
    <x v="0"/>
  </r>
  <r>
    <s v="TX502160"/>
    <x v="5"/>
    <x v="15"/>
    <n v="30.3"/>
    <n v="393.90000000000003"/>
    <x v="78"/>
    <x v="75"/>
    <x v="1"/>
    <x v="4"/>
    <x v="0"/>
    <x v="0"/>
    <x v="7"/>
    <x v="3"/>
    <x v="11"/>
    <x v="1"/>
  </r>
  <r>
    <s v="TX502161"/>
    <x v="6"/>
    <x v="5"/>
    <n v="57.9"/>
    <n v="636.9"/>
    <x v="78"/>
    <x v="75"/>
    <x v="2"/>
    <x v="0"/>
    <x v="0"/>
    <x v="0"/>
    <x v="8"/>
    <x v="3"/>
    <x v="11"/>
    <x v="2"/>
  </r>
  <r>
    <s v="TX502162"/>
    <x v="1"/>
    <x v="0"/>
    <n v="96.7"/>
    <n v="96.7"/>
    <x v="78"/>
    <x v="75"/>
    <x v="1"/>
    <x v="0"/>
    <x v="0"/>
    <x v="0"/>
    <x v="8"/>
    <x v="3"/>
    <x v="11"/>
    <x v="1"/>
  </r>
  <r>
    <s v="TX502163"/>
    <x v="8"/>
    <x v="4"/>
    <n v="27.6"/>
    <n v="331.20000000000005"/>
    <x v="78"/>
    <x v="80"/>
    <x v="1"/>
    <x v="2"/>
    <x v="2"/>
    <x v="0"/>
    <x v="8"/>
    <x v="1"/>
    <x v="11"/>
    <x v="1"/>
  </r>
  <r>
    <s v="TX502164"/>
    <x v="6"/>
    <x v="12"/>
    <n v="64.7"/>
    <n v="258.8"/>
    <x v="78"/>
    <x v="78"/>
    <x v="1"/>
    <x v="3"/>
    <x v="2"/>
    <x v="0"/>
    <x v="8"/>
    <x v="7"/>
    <x v="11"/>
    <x v="1"/>
  </r>
  <r>
    <s v="TX502165"/>
    <x v="10"/>
    <x v="13"/>
    <n v="30.5"/>
    <n v="183"/>
    <x v="78"/>
    <x v="75"/>
    <x v="1"/>
    <x v="4"/>
    <x v="0"/>
    <x v="0"/>
    <x v="8"/>
    <x v="3"/>
    <x v="11"/>
    <x v="1"/>
  </r>
  <r>
    <s v="TX502166"/>
    <x v="6"/>
    <x v="47"/>
    <n v="106"/>
    <n v="7420"/>
    <x v="79"/>
    <x v="79"/>
    <x v="1"/>
    <x v="4"/>
    <x v="2"/>
    <x v="0"/>
    <x v="8"/>
    <x v="1"/>
    <x v="11"/>
    <x v="1"/>
  </r>
  <r>
    <s v="TX502167"/>
    <x v="12"/>
    <x v="9"/>
    <n v="76.8"/>
    <n v="384"/>
    <x v="79"/>
    <x v="87"/>
    <x v="0"/>
    <x v="1"/>
    <x v="1"/>
    <x v="0"/>
    <x v="18"/>
    <x v="4"/>
    <x v="11"/>
    <x v="0"/>
  </r>
  <r>
    <s v="TX502168"/>
    <x v="6"/>
    <x v="1"/>
    <n v="80.400000000000006"/>
    <n v="160.80000000000001"/>
    <x v="79"/>
    <x v="80"/>
    <x v="2"/>
    <x v="2"/>
    <x v="0"/>
    <x v="0"/>
    <x v="13"/>
    <x v="3"/>
    <x v="11"/>
    <x v="2"/>
  </r>
  <r>
    <s v="TX502169"/>
    <x v="6"/>
    <x v="12"/>
    <n v="69.099999999999994"/>
    <n v="276.39999999999998"/>
    <x v="79"/>
    <x v="80"/>
    <x v="1"/>
    <x v="1"/>
    <x v="2"/>
    <x v="0"/>
    <x v="21"/>
    <x v="3"/>
    <x v="11"/>
    <x v="1"/>
  </r>
  <r>
    <s v="TX502170"/>
    <x v="18"/>
    <x v="1"/>
    <n v="76.400000000000006"/>
    <n v="152.80000000000001"/>
    <x v="79"/>
    <x v="75"/>
    <x v="1"/>
    <x v="3"/>
    <x v="0"/>
    <x v="0"/>
    <x v="21"/>
    <x v="7"/>
    <x v="11"/>
    <x v="1"/>
  </r>
  <r>
    <s v="TX502171"/>
    <x v="2"/>
    <x v="1"/>
    <n v="61.3"/>
    <n v="122.6"/>
    <x v="79"/>
    <x v="80"/>
    <x v="2"/>
    <x v="1"/>
    <x v="1"/>
    <x v="0"/>
    <x v="21"/>
    <x v="3"/>
    <x v="11"/>
    <x v="2"/>
  </r>
  <r>
    <s v="TX502172"/>
    <x v="7"/>
    <x v="0"/>
    <n v="58"/>
    <n v="58"/>
    <x v="79"/>
    <x v="80"/>
    <x v="1"/>
    <x v="3"/>
    <x v="1"/>
    <x v="0"/>
    <x v="1"/>
    <x v="3"/>
    <x v="11"/>
    <x v="1"/>
  </r>
  <r>
    <s v="TX502173"/>
    <x v="2"/>
    <x v="8"/>
    <n v="102.3"/>
    <n v="818.4"/>
    <x v="79"/>
    <x v="79"/>
    <x v="1"/>
    <x v="2"/>
    <x v="0"/>
    <x v="0"/>
    <x v="42"/>
    <x v="1"/>
    <x v="11"/>
    <x v="1"/>
  </r>
  <r>
    <s v="TX502174"/>
    <x v="19"/>
    <x v="1"/>
    <n v="13.8"/>
    <n v="27.6"/>
    <x v="79"/>
    <x v="80"/>
    <x v="2"/>
    <x v="4"/>
    <x v="2"/>
    <x v="0"/>
    <x v="2"/>
    <x v="3"/>
    <x v="11"/>
    <x v="2"/>
  </r>
  <r>
    <s v="TX502175"/>
    <x v="8"/>
    <x v="2"/>
    <n v="33.299999999999997"/>
    <n v="99.899999999999991"/>
    <x v="79"/>
    <x v="77"/>
    <x v="2"/>
    <x v="2"/>
    <x v="0"/>
    <x v="0"/>
    <x v="22"/>
    <x v="2"/>
    <x v="11"/>
    <x v="2"/>
  </r>
  <r>
    <s v="TX502176"/>
    <x v="10"/>
    <x v="0"/>
    <n v="27.4"/>
    <n v="27.4"/>
    <x v="79"/>
    <x v="77"/>
    <x v="1"/>
    <x v="0"/>
    <x v="2"/>
    <x v="0"/>
    <x v="22"/>
    <x v="2"/>
    <x v="11"/>
    <x v="1"/>
  </r>
  <r>
    <s v="TX502177"/>
    <x v="14"/>
    <x v="1"/>
    <n v="25.6"/>
    <n v="51.2"/>
    <x v="79"/>
    <x v="80"/>
    <x v="2"/>
    <x v="1"/>
    <x v="1"/>
    <x v="0"/>
    <x v="3"/>
    <x v="3"/>
    <x v="11"/>
    <x v="2"/>
  </r>
  <r>
    <s v="TX502178"/>
    <x v="13"/>
    <x v="0"/>
    <n v="58.4"/>
    <n v="58.4"/>
    <x v="79"/>
    <x v="80"/>
    <x v="2"/>
    <x v="2"/>
    <x v="2"/>
    <x v="0"/>
    <x v="3"/>
    <x v="3"/>
    <x v="11"/>
    <x v="2"/>
  </r>
  <r>
    <s v="TX502179"/>
    <x v="11"/>
    <x v="17"/>
    <n v="27"/>
    <n v="810"/>
    <x v="79"/>
    <x v="80"/>
    <x v="2"/>
    <x v="4"/>
    <x v="0"/>
    <x v="0"/>
    <x v="3"/>
    <x v="3"/>
    <x v="11"/>
    <x v="2"/>
  </r>
  <r>
    <s v="TX502180"/>
    <x v="0"/>
    <x v="12"/>
    <n v="14.2"/>
    <n v="56.8"/>
    <x v="79"/>
    <x v="80"/>
    <x v="1"/>
    <x v="0"/>
    <x v="2"/>
    <x v="0"/>
    <x v="3"/>
    <x v="3"/>
    <x v="11"/>
    <x v="1"/>
  </r>
  <r>
    <s v="TX502181"/>
    <x v="7"/>
    <x v="1"/>
    <n v="68"/>
    <n v="136"/>
    <x v="79"/>
    <x v="88"/>
    <x v="1"/>
    <x v="2"/>
    <x v="1"/>
    <x v="0"/>
    <x v="3"/>
    <x v="14"/>
    <x v="11"/>
    <x v="1"/>
  </r>
  <r>
    <s v="TX502182"/>
    <x v="8"/>
    <x v="0"/>
    <n v="30.7"/>
    <n v="30.7"/>
    <x v="79"/>
    <x v="80"/>
    <x v="1"/>
    <x v="0"/>
    <x v="0"/>
    <x v="0"/>
    <x v="3"/>
    <x v="3"/>
    <x v="11"/>
    <x v="1"/>
  </r>
  <r>
    <s v="TX502183"/>
    <x v="17"/>
    <x v="15"/>
    <n v="51.6"/>
    <n v="670.80000000000007"/>
    <x v="79"/>
    <x v="77"/>
    <x v="3"/>
    <x v="1"/>
    <x v="2"/>
    <x v="0"/>
    <x v="3"/>
    <x v="2"/>
    <x v="11"/>
    <x v="3"/>
  </r>
  <r>
    <s v="TX502184"/>
    <x v="8"/>
    <x v="2"/>
    <n v="20.6"/>
    <n v="61.800000000000004"/>
    <x v="79"/>
    <x v="82"/>
    <x v="2"/>
    <x v="4"/>
    <x v="2"/>
    <x v="0"/>
    <x v="3"/>
    <x v="5"/>
    <x v="11"/>
    <x v="2"/>
  </r>
  <r>
    <s v="TX502185"/>
    <x v="8"/>
    <x v="0"/>
    <n v="24.8"/>
    <n v="24.8"/>
    <x v="79"/>
    <x v="80"/>
    <x v="1"/>
    <x v="4"/>
    <x v="0"/>
    <x v="0"/>
    <x v="3"/>
    <x v="3"/>
    <x v="11"/>
    <x v="1"/>
  </r>
  <r>
    <s v="TX502186"/>
    <x v="0"/>
    <x v="3"/>
    <n v="11.2"/>
    <n v="78.399999999999991"/>
    <x v="79"/>
    <x v="77"/>
    <x v="1"/>
    <x v="1"/>
    <x v="0"/>
    <x v="0"/>
    <x v="3"/>
    <x v="2"/>
    <x v="11"/>
    <x v="1"/>
  </r>
  <r>
    <s v="TX502187"/>
    <x v="11"/>
    <x v="1"/>
    <n v="51.2"/>
    <n v="102.4"/>
    <x v="79"/>
    <x v="80"/>
    <x v="2"/>
    <x v="1"/>
    <x v="2"/>
    <x v="0"/>
    <x v="3"/>
    <x v="3"/>
    <x v="11"/>
    <x v="2"/>
  </r>
  <r>
    <s v="TX502188"/>
    <x v="7"/>
    <x v="13"/>
    <n v="90.5"/>
    <n v="543"/>
    <x v="79"/>
    <x v="80"/>
    <x v="2"/>
    <x v="1"/>
    <x v="4"/>
    <x v="0"/>
    <x v="3"/>
    <x v="3"/>
    <x v="11"/>
    <x v="2"/>
  </r>
  <r>
    <s v="TX502189"/>
    <x v="1"/>
    <x v="1"/>
    <n v="42.4"/>
    <n v="84.8"/>
    <x v="79"/>
    <x v="80"/>
    <x v="1"/>
    <x v="1"/>
    <x v="2"/>
    <x v="0"/>
    <x v="4"/>
    <x v="3"/>
    <x v="11"/>
    <x v="1"/>
  </r>
  <r>
    <s v="TX502190"/>
    <x v="1"/>
    <x v="1"/>
    <n v="38.200000000000003"/>
    <n v="76.400000000000006"/>
    <x v="79"/>
    <x v="80"/>
    <x v="1"/>
    <x v="0"/>
    <x v="0"/>
    <x v="0"/>
    <x v="5"/>
    <x v="3"/>
    <x v="11"/>
    <x v="1"/>
  </r>
  <r>
    <s v="TX502191"/>
    <x v="2"/>
    <x v="11"/>
    <n v="121.3"/>
    <n v="1091.7"/>
    <x v="79"/>
    <x v="81"/>
    <x v="1"/>
    <x v="0"/>
    <x v="0"/>
    <x v="0"/>
    <x v="6"/>
    <x v="0"/>
    <x v="11"/>
    <x v="1"/>
  </r>
  <r>
    <s v="TX502192"/>
    <x v="6"/>
    <x v="1"/>
    <n v="46.9"/>
    <n v="93.8"/>
    <x v="79"/>
    <x v="86"/>
    <x v="1"/>
    <x v="0"/>
    <x v="0"/>
    <x v="0"/>
    <x v="8"/>
    <x v="6"/>
    <x v="11"/>
    <x v="1"/>
  </r>
  <r>
    <s v="TX502193"/>
    <x v="10"/>
    <x v="0"/>
    <n v="55.3"/>
    <n v="55.3"/>
    <x v="79"/>
    <x v="79"/>
    <x v="1"/>
    <x v="0"/>
    <x v="0"/>
    <x v="0"/>
    <x v="8"/>
    <x v="1"/>
    <x v="11"/>
    <x v="1"/>
  </r>
  <r>
    <s v="TX502194"/>
    <x v="2"/>
    <x v="2"/>
    <n v="70.599999999999994"/>
    <n v="211.79999999999998"/>
    <x v="80"/>
    <x v="80"/>
    <x v="2"/>
    <x v="0"/>
    <x v="1"/>
    <x v="0"/>
    <x v="8"/>
    <x v="7"/>
    <x v="11"/>
    <x v="2"/>
  </r>
  <r>
    <s v="TX502195"/>
    <x v="14"/>
    <x v="12"/>
    <n v="26.1"/>
    <n v="104.4"/>
    <x v="80"/>
    <x v="77"/>
    <x v="1"/>
    <x v="0"/>
    <x v="0"/>
    <x v="0"/>
    <x v="8"/>
    <x v="1"/>
    <x v="11"/>
    <x v="1"/>
  </r>
  <r>
    <s v="TX502196"/>
    <x v="9"/>
    <x v="5"/>
    <n v="34.5"/>
    <n v="379.5"/>
    <x v="80"/>
    <x v="81"/>
    <x v="1"/>
    <x v="2"/>
    <x v="0"/>
    <x v="0"/>
    <x v="17"/>
    <x v="5"/>
    <x v="11"/>
    <x v="1"/>
  </r>
  <r>
    <s v="TX502197"/>
    <x v="1"/>
    <x v="1"/>
    <n v="64.2"/>
    <n v="128.4"/>
    <x v="80"/>
    <x v="79"/>
    <x v="2"/>
    <x v="0"/>
    <x v="1"/>
    <x v="0"/>
    <x v="17"/>
    <x v="3"/>
    <x v="11"/>
    <x v="2"/>
  </r>
  <r>
    <s v="TX502198"/>
    <x v="2"/>
    <x v="12"/>
    <n v="145.69999999999999"/>
    <n v="582.79999999999995"/>
    <x v="80"/>
    <x v="79"/>
    <x v="2"/>
    <x v="0"/>
    <x v="4"/>
    <x v="0"/>
    <x v="17"/>
    <x v="3"/>
    <x v="11"/>
    <x v="2"/>
  </r>
  <r>
    <s v="TX502199"/>
    <x v="12"/>
    <x v="1"/>
    <n v="78.5"/>
    <n v="157"/>
    <x v="80"/>
    <x v="79"/>
    <x v="1"/>
    <x v="2"/>
    <x v="0"/>
    <x v="0"/>
    <x v="26"/>
    <x v="3"/>
    <x v="11"/>
    <x v="1"/>
  </r>
  <r>
    <s v="TX502200"/>
    <x v="1"/>
    <x v="0"/>
    <n v="34.200000000000003"/>
    <n v="34.200000000000003"/>
    <x v="80"/>
    <x v="77"/>
    <x v="1"/>
    <x v="0"/>
    <x v="0"/>
    <x v="0"/>
    <x v="9"/>
    <x v="1"/>
    <x v="11"/>
    <x v="1"/>
  </r>
  <r>
    <s v="TX502201"/>
    <x v="19"/>
    <x v="0"/>
    <n v="26.2"/>
    <n v="26.2"/>
    <x v="80"/>
    <x v="79"/>
    <x v="1"/>
    <x v="2"/>
    <x v="0"/>
    <x v="0"/>
    <x v="9"/>
    <x v="3"/>
    <x v="11"/>
    <x v="1"/>
  </r>
  <r>
    <s v="TX502202"/>
    <x v="6"/>
    <x v="12"/>
    <n v="53.2"/>
    <n v="212.8"/>
    <x v="80"/>
    <x v="79"/>
    <x v="1"/>
    <x v="1"/>
    <x v="1"/>
    <x v="0"/>
    <x v="11"/>
    <x v="3"/>
    <x v="11"/>
    <x v="1"/>
  </r>
  <r>
    <s v="TX502203"/>
    <x v="1"/>
    <x v="0"/>
    <n v="35.4"/>
    <n v="35.4"/>
    <x v="80"/>
    <x v="81"/>
    <x v="1"/>
    <x v="1"/>
    <x v="4"/>
    <x v="0"/>
    <x v="18"/>
    <x v="5"/>
    <x v="11"/>
    <x v="1"/>
  </r>
  <r>
    <s v="TX502204"/>
    <x v="14"/>
    <x v="1"/>
    <n v="21.3"/>
    <n v="42.6"/>
    <x v="80"/>
    <x v="79"/>
    <x v="1"/>
    <x v="2"/>
    <x v="0"/>
    <x v="0"/>
    <x v="20"/>
    <x v="3"/>
    <x v="11"/>
    <x v="1"/>
  </r>
  <r>
    <s v="TX502205"/>
    <x v="8"/>
    <x v="12"/>
    <n v="32.9"/>
    <n v="131.6"/>
    <x v="80"/>
    <x v="82"/>
    <x v="2"/>
    <x v="4"/>
    <x v="2"/>
    <x v="0"/>
    <x v="21"/>
    <x v="2"/>
    <x v="11"/>
    <x v="2"/>
  </r>
  <r>
    <s v="TX502206"/>
    <x v="5"/>
    <x v="20"/>
    <n v="85.5"/>
    <n v="1282.5"/>
    <x v="80"/>
    <x v="77"/>
    <x v="2"/>
    <x v="3"/>
    <x v="1"/>
    <x v="0"/>
    <x v="21"/>
    <x v="1"/>
    <x v="11"/>
    <x v="2"/>
  </r>
  <r>
    <s v="TX502207"/>
    <x v="4"/>
    <x v="0"/>
    <n v="26.8"/>
    <n v="26.8"/>
    <x v="80"/>
    <x v="79"/>
    <x v="2"/>
    <x v="0"/>
    <x v="1"/>
    <x v="0"/>
    <x v="2"/>
    <x v="3"/>
    <x v="11"/>
    <x v="2"/>
  </r>
  <r>
    <s v="TX502208"/>
    <x v="9"/>
    <x v="18"/>
    <n v="31.7"/>
    <n v="824.19999999999993"/>
    <x v="80"/>
    <x v="80"/>
    <x v="2"/>
    <x v="3"/>
    <x v="0"/>
    <x v="0"/>
    <x v="2"/>
    <x v="7"/>
    <x v="11"/>
    <x v="2"/>
  </r>
  <r>
    <s v="TX502209"/>
    <x v="1"/>
    <x v="1"/>
    <n v="78.3"/>
    <n v="156.6"/>
    <x v="80"/>
    <x v="77"/>
    <x v="2"/>
    <x v="1"/>
    <x v="1"/>
    <x v="0"/>
    <x v="3"/>
    <x v="1"/>
    <x v="11"/>
    <x v="2"/>
  </r>
  <r>
    <s v="TX502210"/>
    <x v="6"/>
    <x v="0"/>
    <n v="43.9"/>
    <n v="43.9"/>
    <x v="80"/>
    <x v="79"/>
    <x v="1"/>
    <x v="0"/>
    <x v="0"/>
    <x v="0"/>
    <x v="3"/>
    <x v="3"/>
    <x v="11"/>
    <x v="1"/>
  </r>
  <r>
    <s v="TX502211"/>
    <x v="18"/>
    <x v="2"/>
    <n v="84"/>
    <n v="252"/>
    <x v="80"/>
    <x v="77"/>
    <x v="0"/>
    <x v="3"/>
    <x v="2"/>
    <x v="0"/>
    <x v="3"/>
    <x v="1"/>
    <x v="11"/>
    <x v="0"/>
  </r>
  <r>
    <s v="TX502212"/>
    <x v="0"/>
    <x v="2"/>
    <n v="11.4"/>
    <n v="34.200000000000003"/>
    <x v="80"/>
    <x v="79"/>
    <x v="1"/>
    <x v="4"/>
    <x v="0"/>
    <x v="0"/>
    <x v="3"/>
    <x v="3"/>
    <x v="11"/>
    <x v="1"/>
  </r>
  <r>
    <s v="TX502213"/>
    <x v="12"/>
    <x v="8"/>
    <n v="47.5"/>
    <n v="380"/>
    <x v="80"/>
    <x v="89"/>
    <x v="2"/>
    <x v="0"/>
    <x v="0"/>
    <x v="0"/>
    <x v="3"/>
    <x v="9"/>
    <x v="11"/>
    <x v="2"/>
  </r>
  <r>
    <s v="TX502214"/>
    <x v="9"/>
    <x v="5"/>
    <n v="50.5"/>
    <n v="555.5"/>
    <x v="80"/>
    <x v="77"/>
    <x v="1"/>
    <x v="2"/>
    <x v="0"/>
    <x v="0"/>
    <x v="3"/>
    <x v="1"/>
    <x v="11"/>
    <x v="1"/>
  </r>
  <r>
    <s v="TX502215"/>
    <x v="15"/>
    <x v="0"/>
    <n v="36.299999999999997"/>
    <n v="36.299999999999997"/>
    <x v="80"/>
    <x v="82"/>
    <x v="3"/>
    <x v="0"/>
    <x v="1"/>
    <x v="0"/>
    <x v="8"/>
    <x v="2"/>
    <x v="11"/>
    <x v="3"/>
  </r>
  <r>
    <s v="TX502216"/>
    <x v="8"/>
    <x v="1"/>
    <n v="35.4"/>
    <n v="70.8"/>
    <x v="80"/>
    <x v="79"/>
    <x v="2"/>
    <x v="0"/>
    <x v="0"/>
    <x v="0"/>
    <x v="17"/>
    <x v="3"/>
    <x v="11"/>
    <x v="2"/>
  </r>
  <r>
    <s v="TX502217"/>
    <x v="1"/>
    <x v="2"/>
    <n v="45.9"/>
    <n v="137.69999999999999"/>
    <x v="81"/>
    <x v="77"/>
    <x v="1"/>
    <x v="3"/>
    <x v="0"/>
    <x v="0"/>
    <x v="9"/>
    <x v="3"/>
    <x v="12"/>
    <x v="1"/>
  </r>
  <r>
    <s v="TX502218"/>
    <x v="6"/>
    <x v="7"/>
    <n v="41.2"/>
    <n v="412"/>
    <x v="81"/>
    <x v="87"/>
    <x v="1"/>
    <x v="0"/>
    <x v="0"/>
    <x v="0"/>
    <x v="11"/>
    <x v="5"/>
    <x v="12"/>
    <x v="1"/>
  </r>
  <r>
    <s v="TX502219"/>
    <x v="17"/>
    <x v="1"/>
    <n v="45.1"/>
    <n v="90.2"/>
    <x v="81"/>
    <x v="77"/>
    <x v="1"/>
    <x v="1"/>
    <x v="1"/>
    <x v="0"/>
    <x v="21"/>
    <x v="3"/>
    <x v="12"/>
    <x v="1"/>
  </r>
  <r>
    <s v="TX502220"/>
    <x v="6"/>
    <x v="7"/>
    <n v="63.6"/>
    <n v="636"/>
    <x v="81"/>
    <x v="79"/>
    <x v="1"/>
    <x v="2"/>
    <x v="0"/>
    <x v="0"/>
    <x v="1"/>
    <x v="7"/>
    <x v="12"/>
    <x v="1"/>
  </r>
  <r>
    <s v="TX502221"/>
    <x v="8"/>
    <x v="0"/>
    <n v="70.5"/>
    <n v="70.5"/>
    <x v="81"/>
    <x v="77"/>
    <x v="1"/>
    <x v="0"/>
    <x v="0"/>
    <x v="0"/>
    <x v="3"/>
    <x v="3"/>
    <x v="12"/>
    <x v="1"/>
  </r>
  <r>
    <s v="TX502222"/>
    <x v="6"/>
    <x v="0"/>
    <n v="41.3"/>
    <n v="41.3"/>
    <x v="81"/>
    <x v="79"/>
    <x v="1"/>
    <x v="4"/>
    <x v="0"/>
    <x v="0"/>
    <x v="3"/>
    <x v="7"/>
    <x v="12"/>
    <x v="1"/>
  </r>
  <r>
    <s v="TX502223"/>
    <x v="4"/>
    <x v="0"/>
    <n v="35.299999999999997"/>
    <n v="35.299999999999997"/>
    <x v="81"/>
    <x v="81"/>
    <x v="2"/>
    <x v="4"/>
    <x v="2"/>
    <x v="0"/>
    <x v="3"/>
    <x v="2"/>
    <x v="12"/>
    <x v="2"/>
  </r>
  <r>
    <s v="TX502224"/>
    <x v="8"/>
    <x v="9"/>
    <n v="34.700000000000003"/>
    <n v="173.5"/>
    <x v="81"/>
    <x v="77"/>
    <x v="2"/>
    <x v="0"/>
    <x v="2"/>
    <x v="0"/>
    <x v="3"/>
    <x v="3"/>
    <x v="12"/>
    <x v="2"/>
  </r>
  <r>
    <s v="TX502225"/>
    <x v="8"/>
    <x v="2"/>
    <n v="26.1"/>
    <n v="78.300000000000011"/>
    <x v="81"/>
    <x v="77"/>
    <x v="2"/>
    <x v="0"/>
    <x v="0"/>
    <x v="0"/>
    <x v="3"/>
    <x v="3"/>
    <x v="12"/>
    <x v="2"/>
  </r>
  <r>
    <s v="TX502226"/>
    <x v="9"/>
    <x v="9"/>
    <n v="22.6"/>
    <n v="113"/>
    <x v="81"/>
    <x v="79"/>
    <x v="2"/>
    <x v="1"/>
    <x v="2"/>
    <x v="0"/>
    <x v="3"/>
    <x v="7"/>
    <x v="12"/>
    <x v="2"/>
  </r>
  <r>
    <s v="TX502227"/>
    <x v="2"/>
    <x v="1"/>
    <n v="154.4"/>
    <n v="308.8"/>
    <x v="81"/>
    <x v="81"/>
    <x v="1"/>
    <x v="1"/>
    <x v="1"/>
    <x v="0"/>
    <x v="3"/>
    <x v="2"/>
    <x v="12"/>
    <x v="1"/>
  </r>
  <r>
    <s v="TX502228"/>
    <x v="8"/>
    <x v="1"/>
    <n v="18.399999999999999"/>
    <n v="36.799999999999997"/>
    <x v="81"/>
    <x v="77"/>
    <x v="1"/>
    <x v="0"/>
    <x v="0"/>
    <x v="0"/>
    <x v="3"/>
    <x v="3"/>
    <x v="12"/>
    <x v="1"/>
  </r>
  <r>
    <s v="TX502229"/>
    <x v="14"/>
    <x v="0"/>
    <n v="25"/>
    <n v="25"/>
    <x v="81"/>
    <x v="81"/>
    <x v="2"/>
    <x v="0"/>
    <x v="0"/>
    <x v="0"/>
    <x v="3"/>
    <x v="2"/>
    <x v="12"/>
    <x v="2"/>
  </r>
  <r>
    <s v="TX502230"/>
    <x v="2"/>
    <x v="13"/>
    <n v="105.6"/>
    <n v="633.59999999999991"/>
    <x v="81"/>
    <x v="79"/>
    <x v="2"/>
    <x v="0"/>
    <x v="0"/>
    <x v="0"/>
    <x v="3"/>
    <x v="7"/>
    <x v="12"/>
    <x v="2"/>
  </r>
  <r>
    <s v="TX502231"/>
    <x v="18"/>
    <x v="8"/>
    <n v="59.6"/>
    <n v="476.8"/>
    <x v="81"/>
    <x v="79"/>
    <x v="2"/>
    <x v="0"/>
    <x v="2"/>
    <x v="0"/>
    <x v="23"/>
    <x v="7"/>
    <x v="12"/>
    <x v="2"/>
  </r>
  <r>
    <s v="TX502232"/>
    <x v="15"/>
    <x v="2"/>
    <n v="75.400000000000006"/>
    <n v="226.20000000000002"/>
    <x v="81"/>
    <x v="86"/>
    <x v="1"/>
    <x v="0"/>
    <x v="1"/>
    <x v="0"/>
    <x v="7"/>
    <x v="0"/>
    <x v="12"/>
    <x v="1"/>
  </r>
  <r>
    <s v="TX502233"/>
    <x v="7"/>
    <x v="0"/>
    <n v="104.4"/>
    <n v="104.4"/>
    <x v="81"/>
    <x v="77"/>
    <x v="2"/>
    <x v="0"/>
    <x v="0"/>
    <x v="0"/>
    <x v="8"/>
    <x v="3"/>
    <x v="12"/>
    <x v="2"/>
  </r>
  <r>
    <s v="TX502234"/>
    <x v="2"/>
    <x v="7"/>
    <n v="208.2"/>
    <n v="2082"/>
    <x v="81"/>
    <x v="77"/>
    <x v="1"/>
    <x v="0"/>
    <x v="2"/>
    <x v="0"/>
    <x v="8"/>
    <x v="3"/>
    <x v="12"/>
    <x v="1"/>
  </r>
  <r>
    <s v="TX502235"/>
    <x v="6"/>
    <x v="1"/>
    <n v="45"/>
    <n v="90"/>
    <x v="81"/>
    <x v="81"/>
    <x v="2"/>
    <x v="0"/>
    <x v="0"/>
    <x v="0"/>
    <x v="10"/>
    <x v="2"/>
    <x v="12"/>
    <x v="2"/>
  </r>
  <r>
    <s v="TX502236"/>
    <x v="15"/>
    <x v="1"/>
    <n v="20.3"/>
    <n v="40.6"/>
    <x v="82"/>
    <x v="81"/>
    <x v="0"/>
    <x v="1"/>
    <x v="0"/>
    <x v="0"/>
    <x v="11"/>
    <x v="1"/>
    <x v="12"/>
    <x v="0"/>
  </r>
  <r>
    <s v="TX502237"/>
    <x v="2"/>
    <x v="2"/>
    <n v="94.4"/>
    <n v="283.20000000000005"/>
    <x v="82"/>
    <x v="82"/>
    <x v="2"/>
    <x v="0"/>
    <x v="2"/>
    <x v="0"/>
    <x v="11"/>
    <x v="3"/>
    <x v="12"/>
    <x v="2"/>
  </r>
  <r>
    <s v="TX502238"/>
    <x v="9"/>
    <x v="0"/>
    <n v="49"/>
    <n v="49"/>
    <x v="82"/>
    <x v="81"/>
    <x v="2"/>
    <x v="0"/>
    <x v="2"/>
    <x v="0"/>
    <x v="20"/>
    <x v="1"/>
    <x v="12"/>
    <x v="2"/>
  </r>
  <r>
    <s v="TX502239"/>
    <x v="4"/>
    <x v="1"/>
    <n v="27.2"/>
    <n v="54.4"/>
    <x v="82"/>
    <x v="81"/>
    <x v="1"/>
    <x v="0"/>
    <x v="2"/>
    <x v="0"/>
    <x v="1"/>
    <x v="1"/>
    <x v="12"/>
    <x v="1"/>
  </r>
  <r>
    <s v="TX502240"/>
    <x v="2"/>
    <x v="13"/>
    <n v="72.599999999999994"/>
    <n v="435.59999999999997"/>
    <x v="82"/>
    <x v="82"/>
    <x v="2"/>
    <x v="0"/>
    <x v="2"/>
    <x v="0"/>
    <x v="2"/>
    <x v="3"/>
    <x v="12"/>
    <x v="2"/>
  </r>
  <r>
    <s v="TX502241"/>
    <x v="15"/>
    <x v="12"/>
    <n v="62.4"/>
    <n v="249.6"/>
    <x v="82"/>
    <x v="82"/>
    <x v="2"/>
    <x v="0"/>
    <x v="0"/>
    <x v="0"/>
    <x v="3"/>
    <x v="3"/>
    <x v="12"/>
    <x v="2"/>
  </r>
  <r>
    <s v="TX502242"/>
    <x v="8"/>
    <x v="2"/>
    <n v="19.100000000000001"/>
    <n v="57.300000000000004"/>
    <x v="82"/>
    <x v="81"/>
    <x v="1"/>
    <x v="0"/>
    <x v="1"/>
    <x v="0"/>
    <x v="3"/>
    <x v="1"/>
    <x v="12"/>
    <x v="1"/>
  </r>
  <r>
    <s v="TX502243"/>
    <x v="10"/>
    <x v="0"/>
    <n v="29.6"/>
    <n v="29.6"/>
    <x v="82"/>
    <x v="86"/>
    <x v="1"/>
    <x v="0"/>
    <x v="4"/>
    <x v="0"/>
    <x v="3"/>
    <x v="5"/>
    <x v="12"/>
    <x v="1"/>
  </r>
  <r>
    <s v="TX502244"/>
    <x v="8"/>
    <x v="1"/>
    <n v="18.899999999999999"/>
    <n v="37.799999999999997"/>
    <x v="82"/>
    <x v="81"/>
    <x v="2"/>
    <x v="4"/>
    <x v="2"/>
    <x v="0"/>
    <x v="3"/>
    <x v="1"/>
    <x v="12"/>
    <x v="2"/>
  </r>
  <r>
    <s v="TX502245"/>
    <x v="10"/>
    <x v="9"/>
    <n v="41.4"/>
    <n v="207"/>
    <x v="82"/>
    <x v="82"/>
    <x v="1"/>
    <x v="3"/>
    <x v="0"/>
    <x v="0"/>
    <x v="3"/>
    <x v="3"/>
    <x v="12"/>
    <x v="1"/>
  </r>
  <r>
    <s v="TX502246"/>
    <x v="2"/>
    <x v="0"/>
    <n v="118.4"/>
    <n v="118.4"/>
    <x v="82"/>
    <x v="82"/>
    <x v="2"/>
    <x v="0"/>
    <x v="2"/>
    <x v="0"/>
    <x v="3"/>
    <x v="3"/>
    <x v="12"/>
    <x v="2"/>
  </r>
  <r>
    <s v="TX502247"/>
    <x v="2"/>
    <x v="1"/>
    <n v="125.3"/>
    <n v="250.6"/>
    <x v="82"/>
    <x v="87"/>
    <x v="2"/>
    <x v="0"/>
    <x v="2"/>
    <x v="0"/>
    <x v="3"/>
    <x v="2"/>
    <x v="12"/>
    <x v="2"/>
  </r>
  <r>
    <s v="TX502248"/>
    <x v="3"/>
    <x v="1"/>
    <n v="85.8"/>
    <n v="171.6"/>
    <x v="82"/>
    <x v="82"/>
    <x v="2"/>
    <x v="1"/>
    <x v="4"/>
    <x v="0"/>
    <x v="3"/>
    <x v="3"/>
    <x v="12"/>
    <x v="2"/>
  </r>
  <r>
    <s v="TX502249"/>
    <x v="6"/>
    <x v="0"/>
    <n v="44.2"/>
    <n v="44.2"/>
    <x v="82"/>
    <x v="87"/>
    <x v="1"/>
    <x v="1"/>
    <x v="0"/>
    <x v="0"/>
    <x v="3"/>
    <x v="2"/>
    <x v="12"/>
    <x v="1"/>
  </r>
  <r>
    <s v="TX502250"/>
    <x v="5"/>
    <x v="12"/>
    <n v="74.099999999999994"/>
    <n v="296.39999999999998"/>
    <x v="82"/>
    <x v="81"/>
    <x v="2"/>
    <x v="0"/>
    <x v="0"/>
    <x v="0"/>
    <x v="3"/>
    <x v="1"/>
    <x v="12"/>
    <x v="2"/>
  </r>
  <r>
    <s v="TX502251"/>
    <x v="8"/>
    <x v="0"/>
    <n v="33.799999999999997"/>
    <n v="33.799999999999997"/>
    <x v="82"/>
    <x v="82"/>
    <x v="2"/>
    <x v="2"/>
    <x v="2"/>
    <x v="0"/>
    <x v="24"/>
    <x v="3"/>
    <x v="12"/>
    <x v="2"/>
  </r>
  <r>
    <s v="TX502252"/>
    <x v="1"/>
    <x v="1"/>
    <n v="39.1"/>
    <n v="78.2"/>
    <x v="82"/>
    <x v="82"/>
    <x v="1"/>
    <x v="0"/>
    <x v="1"/>
    <x v="0"/>
    <x v="24"/>
    <x v="3"/>
    <x v="12"/>
    <x v="1"/>
  </r>
  <r>
    <s v="TX502253"/>
    <x v="0"/>
    <x v="0"/>
    <n v="37.200000000000003"/>
    <n v="37.200000000000003"/>
    <x v="82"/>
    <x v="82"/>
    <x v="1"/>
    <x v="0"/>
    <x v="1"/>
    <x v="0"/>
    <x v="16"/>
    <x v="3"/>
    <x v="12"/>
    <x v="1"/>
  </r>
  <r>
    <s v="TX502254"/>
    <x v="15"/>
    <x v="2"/>
    <n v="33.9"/>
    <n v="101.69999999999999"/>
    <x v="82"/>
    <x v="81"/>
    <x v="1"/>
    <x v="2"/>
    <x v="0"/>
    <x v="0"/>
    <x v="6"/>
    <x v="1"/>
    <x v="12"/>
    <x v="1"/>
  </r>
  <r>
    <s v="TX502255"/>
    <x v="7"/>
    <x v="20"/>
    <n v="73.3"/>
    <n v="1099.5"/>
    <x v="82"/>
    <x v="87"/>
    <x v="2"/>
    <x v="2"/>
    <x v="1"/>
    <x v="0"/>
    <x v="8"/>
    <x v="2"/>
    <x v="12"/>
    <x v="2"/>
  </r>
  <r>
    <s v="TX502256"/>
    <x v="8"/>
    <x v="12"/>
    <n v="35"/>
    <n v="140"/>
    <x v="82"/>
    <x v="81"/>
    <x v="2"/>
    <x v="1"/>
    <x v="0"/>
    <x v="0"/>
    <x v="8"/>
    <x v="1"/>
    <x v="12"/>
    <x v="2"/>
  </r>
  <r>
    <s v="TX502257"/>
    <x v="0"/>
    <x v="2"/>
    <n v="22.2"/>
    <n v="66.599999999999994"/>
    <x v="82"/>
    <x v="82"/>
    <x v="1"/>
    <x v="1"/>
    <x v="0"/>
    <x v="0"/>
    <x v="17"/>
    <x v="3"/>
    <x v="12"/>
    <x v="1"/>
  </r>
  <r>
    <s v="TX502258"/>
    <x v="10"/>
    <x v="0"/>
    <n v="32.4"/>
    <n v="32.4"/>
    <x v="82"/>
    <x v="82"/>
    <x v="2"/>
    <x v="0"/>
    <x v="0"/>
    <x v="0"/>
    <x v="11"/>
    <x v="3"/>
    <x v="12"/>
    <x v="2"/>
  </r>
  <r>
    <s v="TX502259"/>
    <x v="5"/>
    <x v="2"/>
    <n v="88.4"/>
    <n v="265.20000000000005"/>
    <x v="83"/>
    <x v="87"/>
    <x v="2"/>
    <x v="1"/>
    <x v="1"/>
    <x v="0"/>
    <x v="11"/>
    <x v="1"/>
    <x v="12"/>
    <x v="2"/>
  </r>
  <r>
    <s v="TX502260"/>
    <x v="5"/>
    <x v="27"/>
    <n v="30.5"/>
    <n v="488"/>
    <x v="83"/>
    <x v="81"/>
    <x v="2"/>
    <x v="2"/>
    <x v="0"/>
    <x v="0"/>
    <x v="11"/>
    <x v="3"/>
    <x v="12"/>
    <x v="2"/>
  </r>
  <r>
    <s v="TX502261"/>
    <x v="1"/>
    <x v="13"/>
    <n v="38.1"/>
    <n v="228.60000000000002"/>
    <x v="83"/>
    <x v="87"/>
    <x v="2"/>
    <x v="0"/>
    <x v="1"/>
    <x v="0"/>
    <x v="11"/>
    <x v="1"/>
    <x v="12"/>
    <x v="2"/>
  </r>
  <r>
    <s v="TX502262"/>
    <x v="10"/>
    <x v="9"/>
    <n v="37.6"/>
    <n v="188"/>
    <x v="83"/>
    <x v="90"/>
    <x v="1"/>
    <x v="0"/>
    <x v="0"/>
    <x v="0"/>
    <x v="11"/>
    <x v="5"/>
    <x v="12"/>
    <x v="1"/>
  </r>
  <r>
    <s v="TX502263"/>
    <x v="15"/>
    <x v="1"/>
    <n v="31.4"/>
    <n v="62.8"/>
    <x v="83"/>
    <x v="81"/>
    <x v="1"/>
    <x v="0"/>
    <x v="2"/>
    <x v="0"/>
    <x v="11"/>
    <x v="3"/>
    <x v="12"/>
    <x v="1"/>
  </r>
  <r>
    <s v="TX502264"/>
    <x v="6"/>
    <x v="1"/>
    <n v="61.5"/>
    <n v="123"/>
    <x v="83"/>
    <x v="81"/>
    <x v="1"/>
    <x v="3"/>
    <x v="0"/>
    <x v="0"/>
    <x v="31"/>
    <x v="3"/>
    <x v="12"/>
    <x v="1"/>
  </r>
  <r>
    <s v="TX502265"/>
    <x v="6"/>
    <x v="0"/>
    <n v="72.599999999999994"/>
    <n v="72.599999999999994"/>
    <x v="83"/>
    <x v="81"/>
    <x v="1"/>
    <x v="0"/>
    <x v="1"/>
    <x v="0"/>
    <x v="21"/>
    <x v="3"/>
    <x v="12"/>
    <x v="1"/>
  </r>
  <r>
    <s v="TX502266"/>
    <x v="9"/>
    <x v="2"/>
    <n v="26.9"/>
    <n v="80.699999999999989"/>
    <x v="83"/>
    <x v="89"/>
    <x v="3"/>
    <x v="4"/>
    <x v="1"/>
    <x v="0"/>
    <x v="46"/>
    <x v="0"/>
    <x v="12"/>
    <x v="3"/>
  </r>
  <r>
    <s v="TX502267"/>
    <x v="17"/>
    <x v="4"/>
    <n v="29.4"/>
    <n v="352.79999999999995"/>
    <x v="83"/>
    <x v="81"/>
    <x v="2"/>
    <x v="1"/>
    <x v="0"/>
    <x v="0"/>
    <x v="51"/>
    <x v="3"/>
    <x v="12"/>
    <x v="2"/>
  </r>
  <r>
    <s v="TX502268"/>
    <x v="17"/>
    <x v="1"/>
    <n v="42.1"/>
    <n v="84.2"/>
    <x v="83"/>
    <x v="81"/>
    <x v="2"/>
    <x v="3"/>
    <x v="1"/>
    <x v="0"/>
    <x v="1"/>
    <x v="3"/>
    <x v="12"/>
    <x v="2"/>
  </r>
  <r>
    <s v="TX502269"/>
    <x v="5"/>
    <x v="0"/>
    <n v="40.5"/>
    <n v="40.5"/>
    <x v="83"/>
    <x v="81"/>
    <x v="2"/>
    <x v="2"/>
    <x v="1"/>
    <x v="0"/>
    <x v="1"/>
    <x v="3"/>
    <x v="12"/>
    <x v="2"/>
  </r>
  <r>
    <s v="TX502270"/>
    <x v="2"/>
    <x v="12"/>
    <n v="182.3"/>
    <n v="729.2"/>
    <x v="83"/>
    <x v="81"/>
    <x v="2"/>
    <x v="1"/>
    <x v="0"/>
    <x v="0"/>
    <x v="1"/>
    <x v="3"/>
    <x v="12"/>
    <x v="2"/>
  </r>
  <r>
    <s v="TX502271"/>
    <x v="2"/>
    <x v="9"/>
    <n v="157"/>
    <n v="785"/>
    <x v="83"/>
    <x v="86"/>
    <x v="2"/>
    <x v="1"/>
    <x v="2"/>
    <x v="0"/>
    <x v="2"/>
    <x v="2"/>
    <x v="12"/>
    <x v="2"/>
  </r>
  <r>
    <s v="TX502272"/>
    <x v="17"/>
    <x v="9"/>
    <n v="45.2"/>
    <n v="226"/>
    <x v="83"/>
    <x v="86"/>
    <x v="2"/>
    <x v="1"/>
    <x v="0"/>
    <x v="0"/>
    <x v="22"/>
    <x v="2"/>
    <x v="12"/>
    <x v="2"/>
  </r>
  <r>
    <s v="TX502273"/>
    <x v="15"/>
    <x v="12"/>
    <n v="27.4"/>
    <n v="109.6"/>
    <x v="83"/>
    <x v="87"/>
    <x v="2"/>
    <x v="0"/>
    <x v="0"/>
    <x v="0"/>
    <x v="3"/>
    <x v="1"/>
    <x v="12"/>
    <x v="2"/>
  </r>
  <r>
    <s v="TX502274"/>
    <x v="5"/>
    <x v="9"/>
    <n v="34.1"/>
    <n v="170.5"/>
    <x v="83"/>
    <x v="87"/>
    <x v="1"/>
    <x v="0"/>
    <x v="2"/>
    <x v="0"/>
    <x v="3"/>
    <x v="1"/>
    <x v="12"/>
    <x v="1"/>
  </r>
  <r>
    <s v="TX502275"/>
    <x v="0"/>
    <x v="1"/>
    <n v="26"/>
    <n v="52"/>
    <x v="83"/>
    <x v="87"/>
    <x v="1"/>
    <x v="2"/>
    <x v="1"/>
    <x v="0"/>
    <x v="3"/>
    <x v="1"/>
    <x v="12"/>
    <x v="1"/>
  </r>
  <r>
    <s v="TX502276"/>
    <x v="8"/>
    <x v="3"/>
    <n v="19.399999999999999"/>
    <n v="135.79999999999998"/>
    <x v="83"/>
    <x v="87"/>
    <x v="0"/>
    <x v="1"/>
    <x v="1"/>
    <x v="0"/>
    <x v="3"/>
    <x v="1"/>
    <x v="12"/>
    <x v="0"/>
  </r>
  <r>
    <s v="TX502277"/>
    <x v="16"/>
    <x v="2"/>
    <n v="30.3"/>
    <n v="90.9"/>
    <x v="83"/>
    <x v="86"/>
    <x v="2"/>
    <x v="1"/>
    <x v="2"/>
    <x v="0"/>
    <x v="3"/>
    <x v="2"/>
    <x v="12"/>
    <x v="2"/>
  </r>
  <r>
    <s v="TX502278"/>
    <x v="2"/>
    <x v="2"/>
    <n v="101.4"/>
    <n v="304.20000000000005"/>
    <x v="83"/>
    <x v="81"/>
    <x v="1"/>
    <x v="0"/>
    <x v="0"/>
    <x v="0"/>
    <x v="3"/>
    <x v="3"/>
    <x v="12"/>
    <x v="1"/>
  </r>
  <r>
    <s v="TX502279"/>
    <x v="3"/>
    <x v="9"/>
    <n v="55.5"/>
    <n v="277.5"/>
    <x v="83"/>
    <x v="86"/>
    <x v="1"/>
    <x v="1"/>
    <x v="0"/>
    <x v="0"/>
    <x v="24"/>
    <x v="2"/>
    <x v="12"/>
    <x v="1"/>
  </r>
  <r>
    <s v="TX502280"/>
    <x v="8"/>
    <x v="0"/>
    <n v="23.1"/>
    <n v="23.1"/>
    <x v="83"/>
    <x v="81"/>
    <x v="1"/>
    <x v="0"/>
    <x v="0"/>
    <x v="0"/>
    <x v="25"/>
    <x v="3"/>
    <x v="12"/>
    <x v="1"/>
  </r>
  <r>
    <s v="TX502281"/>
    <x v="18"/>
    <x v="1"/>
    <n v="38.9"/>
    <n v="77.8"/>
    <x v="83"/>
    <x v="81"/>
    <x v="1"/>
    <x v="2"/>
    <x v="0"/>
    <x v="0"/>
    <x v="25"/>
    <x v="3"/>
    <x v="12"/>
    <x v="1"/>
  </r>
  <r>
    <s v="TX502282"/>
    <x v="6"/>
    <x v="11"/>
    <n v="116.3"/>
    <n v="1046.7"/>
    <x v="83"/>
    <x v="90"/>
    <x v="2"/>
    <x v="0"/>
    <x v="0"/>
    <x v="0"/>
    <x v="5"/>
    <x v="5"/>
    <x v="12"/>
    <x v="2"/>
  </r>
  <r>
    <s v="TX502283"/>
    <x v="16"/>
    <x v="11"/>
    <n v="64.099999999999994"/>
    <n v="576.9"/>
    <x v="83"/>
    <x v="82"/>
    <x v="2"/>
    <x v="0"/>
    <x v="2"/>
    <x v="0"/>
    <x v="6"/>
    <x v="7"/>
    <x v="12"/>
    <x v="2"/>
  </r>
  <r>
    <s v="TX502284"/>
    <x v="2"/>
    <x v="13"/>
    <n v="109.2"/>
    <n v="655.20000000000005"/>
    <x v="83"/>
    <x v="87"/>
    <x v="1"/>
    <x v="0"/>
    <x v="1"/>
    <x v="0"/>
    <x v="8"/>
    <x v="1"/>
    <x v="12"/>
    <x v="1"/>
  </r>
  <r>
    <s v="TX502285"/>
    <x v="10"/>
    <x v="9"/>
    <n v="23.2"/>
    <n v="116"/>
    <x v="84"/>
    <x v="87"/>
    <x v="1"/>
    <x v="0"/>
    <x v="1"/>
    <x v="0"/>
    <x v="8"/>
    <x v="3"/>
    <x v="12"/>
    <x v="1"/>
  </r>
  <r>
    <s v="TX502286"/>
    <x v="18"/>
    <x v="13"/>
    <n v="81.2"/>
    <n v="487.20000000000005"/>
    <x v="84"/>
    <x v="86"/>
    <x v="1"/>
    <x v="2"/>
    <x v="2"/>
    <x v="0"/>
    <x v="8"/>
    <x v="1"/>
    <x v="12"/>
    <x v="1"/>
  </r>
  <r>
    <s v="TX502287"/>
    <x v="1"/>
    <x v="21"/>
    <n v="35.700000000000003"/>
    <n v="499.80000000000007"/>
    <x v="84"/>
    <x v="87"/>
    <x v="1"/>
    <x v="3"/>
    <x v="0"/>
    <x v="0"/>
    <x v="8"/>
    <x v="3"/>
    <x v="12"/>
    <x v="1"/>
  </r>
  <r>
    <s v="TX502288"/>
    <x v="7"/>
    <x v="1"/>
    <n v="44.5"/>
    <n v="89"/>
    <x v="84"/>
    <x v="90"/>
    <x v="1"/>
    <x v="4"/>
    <x v="0"/>
    <x v="0"/>
    <x v="9"/>
    <x v="2"/>
    <x v="12"/>
    <x v="1"/>
  </r>
  <r>
    <s v="TX502289"/>
    <x v="1"/>
    <x v="9"/>
    <n v="32"/>
    <n v="160"/>
    <x v="84"/>
    <x v="86"/>
    <x v="3"/>
    <x v="1"/>
    <x v="1"/>
    <x v="0"/>
    <x v="9"/>
    <x v="1"/>
    <x v="12"/>
    <x v="3"/>
  </r>
  <r>
    <s v="TX502290"/>
    <x v="8"/>
    <x v="0"/>
    <n v="25.7"/>
    <n v="25.7"/>
    <x v="84"/>
    <x v="87"/>
    <x v="1"/>
    <x v="0"/>
    <x v="0"/>
    <x v="0"/>
    <x v="10"/>
    <x v="3"/>
    <x v="12"/>
    <x v="1"/>
  </r>
  <r>
    <s v="TX502291"/>
    <x v="16"/>
    <x v="2"/>
    <n v="65.599999999999994"/>
    <n v="196.79999999999998"/>
    <x v="84"/>
    <x v="84"/>
    <x v="1"/>
    <x v="0"/>
    <x v="0"/>
    <x v="0"/>
    <x v="11"/>
    <x v="4"/>
    <x v="12"/>
    <x v="1"/>
  </r>
  <r>
    <s v="TX502292"/>
    <x v="1"/>
    <x v="12"/>
    <n v="52.1"/>
    <n v="208.4"/>
    <x v="84"/>
    <x v="87"/>
    <x v="2"/>
    <x v="0"/>
    <x v="2"/>
    <x v="0"/>
    <x v="11"/>
    <x v="3"/>
    <x v="12"/>
    <x v="2"/>
  </r>
  <r>
    <s v="TX502293"/>
    <x v="8"/>
    <x v="0"/>
    <n v="31"/>
    <n v="31"/>
    <x v="84"/>
    <x v="87"/>
    <x v="1"/>
    <x v="0"/>
    <x v="1"/>
    <x v="0"/>
    <x v="19"/>
    <x v="3"/>
    <x v="12"/>
    <x v="1"/>
  </r>
  <r>
    <s v="TX502294"/>
    <x v="8"/>
    <x v="0"/>
    <n v="32"/>
    <n v="32"/>
    <x v="84"/>
    <x v="86"/>
    <x v="3"/>
    <x v="3"/>
    <x v="1"/>
    <x v="0"/>
    <x v="31"/>
    <x v="1"/>
    <x v="12"/>
    <x v="3"/>
  </r>
  <r>
    <s v="TX502295"/>
    <x v="16"/>
    <x v="12"/>
    <n v="58.3"/>
    <n v="233.2"/>
    <x v="84"/>
    <x v="89"/>
    <x v="1"/>
    <x v="1"/>
    <x v="4"/>
    <x v="0"/>
    <x v="20"/>
    <x v="5"/>
    <x v="12"/>
    <x v="1"/>
  </r>
  <r>
    <s v="TX502296"/>
    <x v="8"/>
    <x v="2"/>
    <n v="31"/>
    <n v="93"/>
    <x v="84"/>
    <x v="86"/>
    <x v="2"/>
    <x v="2"/>
    <x v="4"/>
    <x v="0"/>
    <x v="13"/>
    <x v="1"/>
    <x v="12"/>
    <x v="2"/>
  </r>
  <r>
    <s v="TX502297"/>
    <x v="3"/>
    <x v="0"/>
    <n v="40.299999999999997"/>
    <n v="40.299999999999997"/>
    <x v="84"/>
    <x v="87"/>
    <x v="1"/>
    <x v="1"/>
    <x v="2"/>
    <x v="0"/>
    <x v="54"/>
    <x v="3"/>
    <x v="12"/>
    <x v="1"/>
  </r>
  <r>
    <s v="TX502298"/>
    <x v="6"/>
    <x v="2"/>
    <n v="47.3"/>
    <n v="141.89999999999998"/>
    <x v="84"/>
    <x v="86"/>
    <x v="1"/>
    <x v="4"/>
    <x v="2"/>
    <x v="0"/>
    <x v="2"/>
    <x v="1"/>
    <x v="12"/>
    <x v="1"/>
  </r>
  <r>
    <s v="TX502299"/>
    <x v="2"/>
    <x v="0"/>
    <n v="82.8"/>
    <n v="82.8"/>
    <x v="84"/>
    <x v="87"/>
    <x v="1"/>
    <x v="0"/>
    <x v="0"/>
    <x v="0"/>
    <x v="2"/>
    <x v="3"/>
    <x v="12"/>
    <x v="1"/>
  </r>
  <r>
    <s v="TX502300"/>
    <x v="8"/>
    <x v="0"/>
    <n v="18.5"/>
    <n v="18.5"/>
    <x v="84"/>
    <x v="91"/>
    <x v="2"/>
    <x v="0"/>
    <x v="0"/>
    <x v="0"/>
    <x v="44"/>
    <x v="12"/>
    <x v="12"/>
    <x v="2"/>
  </r>
  <r>
    <s v="TX502301"/>
    <x v="3"/>
    <x v="1"/>
    <n v="60.4"/>
    <n v="120.8"/>
    <x v="84"/>
    <x v="87"/>
    <x v="1"/>
    <x v="2"/>
    <x v="0"/>
    <x v="0"/>
    <x v="22"/>
    <x v="3"/>
    <x v="12"/>
    <x v="1"/>
  </r>
  <r>
    <s v="TX502302"/>
    <x v="6"/>
    <x v="9"/>
    <n v="80.2"/>
    <n v="401"/>
    <x v="84"/>
    <x v="92"/>
    <x v="1"/>
    <x v="1"/>
    <x v="1"/>
    <x v="0"/>
    <x v="50"/>
    <x v="6"/>
    <x v="12"/>
    <x v="1"/>
  </r>
  <r>
    <s v="TX502303"/>
    <x v="4"/>
    <x v="0"/>
    <n v="41.5"/>
    <n v="41.5"/>
    <x v="84"/>
    <x v="86"/>
    <x v="1"/>
    <x v="2"/>
    <x v="0"/>
    <x v="0"/>
    <x v="3"/>
    <x v="1"/>
    <x v="12"/>
    <x v="1"/>
  </r>
  <r>
    <s v="TX502304"/>
    <x v="2"/>
    <x v="1"/>
    <n v="83.9"/>
    <n v="167.8"/>
    <x v="84"/>
    <x v="90"/>
    <x v="2"/>
    <x v="0"/>
    <x v="0"/>
    <x v="0"/>
    <x v="3"/>
    <x v="2"/>
    <x v="12"/>
    <x v="2"/>
  </r>
  <r>
    <s v="TX502305"/>
    <x v="8"/>
    <x v="1"/>
    <n v="16.7"/>
    <n v="33.4"/>
    <x v="84"/>
    <x v="89"/>
    <x v="2"/>
    <x v="0"/>
    <x v="1"/>
    <x v="0"/>
    <x v="3"/>
    <x v="5"/>
    <x v="12"/>
    <x v="2"/>
  </r>
  <r>
    <s v="TX502306"/>
    <x v="9"/>
    <x v="1"/>
    <n v="72.900000000000006"/>
    <n v="145.80000000000001"/>
    <x v="84"/>
    <x v="87"/>
    <x v="1"/>
    <x v="2"/>
    <x v="1"/>
    <x v="0"/>
    <x v="3"/>
    <x v="3"/>
    <x v="12"/>
    <x v="1"/>
  </r>
  <r>
    <s v="TX502307"/>
    <x v="5"/>
    <x v="1"/>
    <n v="50.2"/>
    <n v="100.4"/>
    <x v="84"/>
    <x v="86"/>
    <x v="2"/>
    <x v="1"/>
    <x v="2"/>
    <x v="0"/>
    <x v="3"/>
    <x v="1"/>
    <x v="12"/>
    <x v="2"/>
  </r>
  <r>
    <s v="TX502308"/>
    <x v="3"/>
    <x v="1"/>
    <n v="34.200000000000003"/>
    <n v="68.400000000000006"/>
    <x v="84"/>
    <x v="93"/>
    <x v="0"/>
    <x v="1"/>
    <x v="0"/>
    <x v="0"/>
    <x v="3"/>
    <x v="14"/>
    <x v="12"/>
    <x v="0"/>
  </r>
  <r>
    <s v="TX502309"/>
    <x v="5"/>
    <x v="1"/>
    <n v="107.9"/>
    <n v="215.8"/>
    <x v="84"/>
    <x v="81"/>
    <x v="1"/>
    <x v="1"/>
    <x v="4"/>
    <x v="0"/>
    <x v="3"/>
    <x v="7"/>
    <x v="12"/>
    <x v="1"/>
  </r>
  <r>
    <s v="TX502310"/>
    <x v="0"/>
    <x v="2"/>
    <n v="17.5"/>
    <n v="52.5"/>
    <x v="84"/>
    <x v="86"/>
    <x v="1"/>
    <x v="4"/>
    <x v="0"/>
    <x v="0"/>
    <x v="3"/>
    <x v="1"/>
    <x v="12"/>
    <x v="1"/>
  </r>
  <r>
    <s v="TX502311"/>
    <x v="13"/>
    <x v="20"/>
    <n v="44.7"/>
    <n v="670.5"/>
    <x v="84"/>
    <x v="87"/>
    <x v="1"/>
    <x v="0"/>
    <x v="1"/>
    <x v="0"/>
    <x v="3"/>
    <x v="3"/>
    <x v="12"/>
    <x v="1"/>
  </r>
  <r>
    <s v="TX502312"/>
    <x v="12"/>
    <x v="13"/>
    <n v="92.7"/>
    <n v="556.20000000000005"/>
    <x v="84"/>
    <x v="86"/>
    <x v="2"/>
    <x v="2"/>
    <x v="1"/>
    <x v="0"/>
    <x v="3"/>
    <x v="1"/>
    <x v="12"/>
    <x v="2"/>
  </r>
  <r>
    <s v="TX502313"/>
    <x v="7"/>
    <x v="2"/>
    <n v="48.8"/>
    <n v="146.39999999999998"/>
    <x v="84"/>
    <x v="86"/>
    <x v="2"/>
    <x v="2"/>
    <x v="0"/>
    <x v="0"/>
    <x v="3"/>
    <x v="1"/>
    <x v="12"/>
    <x v="2"/>
  </r>
  <r>
    <s v="TX502314"/>
    <x v="4"/>
    <x v="27"/>
    <n v="21.3"/>
    <n v="340.8"/>
    <x v="84"/>
    <x v="89"/>
    <x v="2"/>
    <x v="3"/>
    <x v="3"/>
    <x v="0"/>
    <x v="3"/>
    <x v="5"/>
    <x v="12"/>
    <x v="2"/>
  </r>
  <r>
    <s v="TX502315"/>
    <x v="16"/>
    <x v="0"/>
    <n v="52.5"/>
    <n v="52.5"/>
    <x v="84"/>
    <x v="87"/>
    <x v="2"/>
    <x v="0"/>
    <x v="0"/>
    <x v="0"/>
    <x v="3"/>
    <x v="3"/>
    <x v="12"/>
    <x v="2"/>
  </r>
  <r>
    <s v="TX502316"/>
    <x v="1"/>
    <x v="1"/>
    <n v="92.4"/>
    <n v="184.8"/>
    <x v="84"/>
    <x v="84"/>
    <x v="2"/>
    <x v="0"/>
    <x v="2"/>
    <x v="0"/>
    <x v="3"/>
    <x v="4"/>
    <x v="12"/>
    <x v="2"/>
  </r>
  <r>
    <s v="TX502317"/>
    <x v="4"/>
    <x v="5"/>
    <n v="58.3"/>
    <n v="641.29999999999995"/>
    <x v="84"/>
    <x v="86"/>
    <x v="1"/>
    <x v="1"/>
    <x v="2"/>
    <x v="0"/>
    <x v="3"/>
    <x v="1"/>
    <x v="12"/>
    <x v="1"/>
  </r>
  <r>
    <s v="TX502318"/>
    <x v="6"/>
    <x v="44"/>
    <n v="152.6"/>
    <n v="3509.7999999999997"/>
    <x v="85"/>
    <x v="90"/>
    <x v="0"/>
    <x v="0"/>
    <x v="0"/>
    <x v="0"/>
    <x v="3"/>
    <x v="1"/>
    <x v="12"/>
    <x v="0"/>
  </r>
  <r>
    <s v="TX502319"/>
    <x v="8"/>
    <x v="1"/>
    <n v="26"/>
    <n v="52"/>
    <x v="85"/>
    <x v="87"/>
    <x v="0"/>
    <x v="0"/>
    <x v="1"/>
    <x v="0"/>
    <x v="3"/>
    <x v="7"/>
    <x v="12"/>
    <x v="0"/>
  </r>
  <r>
    <s v="TX502320"/>
    <x v="1"/>
    <x v="12"/>
    <n v="33.1"/>
    <n v="132.4"/>
    <x v="85"/>
    <x v="87"/>
    <x v="1"/>
    <x v="2"/>
    <x v="4"/>
    <x v="0"/>
    <x v="5"/>
    <x v="7"/>
    <x v="12"/>
    <x v="1"/>
  </r>
  <r>
    <s v="TX502321"/>
    <x v="18"/>
    <x v="0"/>
    <n v="51.4"/>
    <n v="51.4"/>
    <x v="85"/>
    <x v="90"/>
    <x v="2"/>
    <x v="1"/>
    <x v="1"/>
    <x v="0"/>
    <x v="5"/>
    <x v="1"/>
    <x v="12"/>
    <x v="2"/>
  </r>
  <r>
    <s v="TX502322"/>
    <x v="8"/>
    <x v="1"/>
    <n v="30.2"/>
    <n v="60.4"/>
    <x v="85"/>
    <x v="86"/>
    <x v="2"/>
    <x v="2"/>
    <x v="2"/>
    <x v="0"/>
    <x v="6"/>
    <x v="3"/>
    <x v="12"/>
    <x v="2"/>
  </r>
  <r>
    <s v="TX502323"/>
    <x v="2"/>
    <x v="13"/>
    <n v="97"/>
    <n v="582"/>
    <x v="85"/>
    <x v="88"/>
    <x v="2"/>
    <x v="0"/>
    <x v="2"/>
    <x v="0"/>
    <x v="7"/>
    <x v="5"/>
    <x v="12"/>
    <x v="2"/>
  </r>
  <r>
    <s v="TX502324"/>
    <x v="2"/>
    <x v="0"/>
    <n v="76.900000000000006"/>
    <n v="76.900000000000006"/>
    <x v="85"/>
    <x v="86"/>
    <x v="1"/>
    <x v="1"/>
    <x v="2"/>
    <x v="0"/>
    <x v="8"/>
    <x v="3"/>
    <x v="12"/>
    <x v="1"/>
  </r>
  <r>
    <s v="TX502325"/>
    <x v="7"/>
    <x v="13"/>
    <n v="36.1"/>
    <n v="216.60000000000002"/>
    <x v="85"/>
    <x v="88"/>
    <x v="2"/>
    <x v="0"/>
    <x v="0"/>
    <x v="0"/>
    <x v="8"/>
    <x v="5"/>
    <x v="12"/>
    <x v="2"/>
  </r>
  <r>
    <s v="TX502326"/>
    <x v="1"/>
    <x v="3"/>
    <n v="34.4"/>
    <n v="240.79999999999998"/>
    <x v="85"/>
    <x v="87"/>
    <x v="2"/>
    <x v="2"/>
    <x v="1"/>
    <x v="0"/>
    <x v="11"/>
    <x v="7"/>
    <x v="12"/>
    <x v="2"/>
  </r>
  <r>
    <s v="TX502327"/>
    <x v="1"/>
    <x v="31"/>
    <n v="53.4"/>
    <n v="1495.2"/>
    <x v="85"/>
    <x v="90"/>
    <x v="2"/>
    <x v="1"/>
    <x v="0"/>
    <x v="0"/>
    <x v="18"/>
    <x v="1"/>
    <x v="12"/>
    <x v="2"/>
  </r>
  <r>
    <s v="TX502328"/>
    <x v="2"/>
    <x v="0"/>
    <n v="77.599999999999994"/>
    <n v="77.599999999999994"/>
    <x v="85"/>
    <x v="86"/>
    <x v="2"/>
    <x v="0"/>
    <x v="1"/>
    <x v="0"/>
    <x v="19"/>
    <x v="3"/>
    <x v="12"/>
    <x v="2"/>
  </r>
  <r>
    <s v="TX502329"/>
    <x v="1"/>
    <x v="2"/>
    <n v="71.7"/>
    <n v="215.10000000000002"/>
    <x v="85"/>
    <x v="89"/>
    <x v="2"/>
    <x v="1"/>
    <x v="0"/>
    <x v="0"/>
    <x v="19"/>
    <x v="2"/>
    <x v="12"/>
    <x v="2"/>
  </r>
  <r>
    <s v="TX502330"/>
    <x v="3"/>
    <x v="2"/>
    <n v="80.599999999999994"/>
    <n v="241.79999999999998"/>
    <x v="85"/>
    <x v="86"/>
    <x v="1"/>
    <x v="4"/>
    <x v="1"/>
    <x v="0"/>
    <x v="19"/>
    <x v="3"/>
    <x v="12"/>
    <x v="1"/>
  </r>
  <r>
    <s v="TX502331"/>
    <x v="1"/>
    <x v="20"/>
    <n v="70"/>
    <n v="1050"/>
    <x v="85"/>
    <x v="90"/>
    <x v="1"/>
    <x v="0"/>
    <x v="0"/>
    <x v="0"/>
    <x v="20"/>
    <x v="1"/>
    <x v="12"/>
    <x v="1"/>
  </r>
  <r>
    <s v="TX502332"/>
    <x v="4"/>
    <x v="13"/>
    <n v="27.3"/>
    <n v="163.80000000000001"/>
    <x v="85"/>
    <x v="90"/>
    <x v="2"/>
    <x v="1"/>
    <x v="1"/>
    <x v="0"/>
    <x v="2"/>
    <x v="1"/>
    <x v="12"/>
    <x v="2"/>
  </r>
  <r>
    <s v="TX502333"/>
    <x v="8"/>
    <x v="21"/>
    <n v="37.6"/>
    <n v="526.4"/>
    <x v="85"/>
    <x v="90"/>
    <x v="1"/>
    <x v="1"/>
    <x v="0"/>
    <x v="0"/>
    <x v="3"/>
    <x v="1"/>
    <x v="12"/>
    <x v="1"/>
  </r>
  <r>
    <s v="TX502334"/>
    <x v="5"/>
    <x v="2"/>
    <n v="36.6"/>
    <n v="109.80000000000001"/>
    <x v="85"/>
    <x v="90"/>
    <x v="2"/>
    <x v="4"/>
    <x v="0"/>
    <x v="0"/>
    <x v="3"/>
    <x v="1"/>
    <x v="12"/>
    <x v="2"/>
  </r>
  <r>
    <s v="TX502335"/>
    <x v="13"/>
    <x v="0"/>
    <n v="55.2"/>
    <n v="55.2"/>
    <x v="85"/>
    <x v="90"/>
    <x v="1"/>
    <x v="3"/>
    <x v="0"/>
    <x v="0"/>
    <x v="3"/>
    <x v="1"/>
    <x v="12"/>
    <x v="1"/>
  </r>
  <r>
    <s v="TX502336"/>
    <x v="6"/>
    <x v="9"/>
    <n v="59.9"/>
    <n v="299.5"/>
    <x v="85"/>
    <x v="90"/>
    <x v="1"/>
    <x v="0"/>
    <x v="0"/>
    <x v="0"/>
    <x v="3"/>
    <x v="1"/>
    <x v="12"/>
    <x v="1"/>
  </r>
  <r>
    <s v="TX502337"/>
    <x v="6"/>
    <x v="0"/>
    <n v="44"/>
    <n v="44"/>
    <x v="85"/>
    <x v="86"/>
    <x v="2"/>
    <x v="2"/>
    <x v="2"/>
    <x v="0"/>
    <x v="3"/>
    <x v="3"/>
    <x v="12"/>
    <x v="2"/>
  </r>
  <r>
    <s v="TX502338"/>
    <x v="9"/>
    <x v="1"/>
    <n v="68.7"/>
    <n v="137.4"/>
    <x v="85"/>
    <x v="87"/>
    <x v="1"/>
    <x v="0"/>
    <x v="0"/>
    <x v="0"/>
    <x v="3"/>
    <x v="7"/>
    <x v="12"/>
    <x v="1"/>
  </r>
  <r>
    <s v="TX502339"/>
    <x v="5"/>
    <x v="1"/>
    <n v="61.6"/>
    <n v="123.2"/>
    <x v="85"/>
    <x v="88"/>
    <x v="1"/>
    <x v="3"/>
    <x v="1"/>
    <x v="0"/>
    <x v="3"/>
    <x v="5"/>
    <x v="12"/>
    <x v="1"/>
  </r>
  <r>
    <s v="TX502340"/>
    <x v="7"/>
    <x v="3"/>
    <n v="51.8"/>
    <n v="362.59999999999997"/>
    <x v="85"/>
    <x v="86"/>
    <x v="1"/>
    <x v="0"/>
    <x v="0"/>
    <x v="0"/>
    <x v="3"/>
    <x v="3"/>
    <x v="12"/>
    <x v="1"/>
  </r>
  <r>
    <s v="TX502341"/>
    <x v="8"/>
    <x v="7"/>
    <n v="46.2"/>
    <n v="462"/>
    <x v="85"/>
    <x v="90"/>
    <x v="1"/>
    <x v="1"/>
    <x v="2"/>
    <x v="0"/>
    <x v="3"/>
    <x v="1"/>
    <x v="12"/>
    <x v="1"/>
  </r>
  <r>
    <s v="TX502342"/>
    <x v="0"/>
    <x v="1"/>
    <n v="19.399999999999999"/>
    <n v="38.799999999999997"/>
    <x v="85"/>
    <x v="90"/>
    <x v="2"/>
    <x v="1"/>
    <x v="2"/>
    <x v="0"/>
    <x v="6"/>
    <x v="1"/>
    <x v="12"/>
    <x v="2"/>
  </r>
  <r>
    <s v="TX502343"/>
    <x v="11"/>
    <x v="2"/>
    <n v="52.1"/>
    <n v="156.30000000000001"/>
    <x v="85"/>
    <x v="89"/>
    <x v="1"/>
    <x v="3"/>
    <x v="3"/>
    <x v="0"/>
    <x v="6"/>
    <x v="2"/>
    <x v="12"/>
    <x v="1"/>
  </r>
  <r>
    <s v="TX502344"/>
    <x v="6"/>
    <x v="0"/>
    <n v="74.900000000000006"/>
    <n v="74.900000000000006"/>
    <x v="85"/>
    <x v="90"/>
    <x v="3"/>
    <x v="0"/>
    <x v="0"/>
    <x v="0"/>
    <x v="7"/>
    <x v="1"/>
    <x v="12"/>
    <x v="3"/>
  </r>
  <r>
    <s v="TX502345"/>
    <x v="9"/>
    <x v="3"/>
    <n v="49.6"/>
    <n v="347.2"/>
    <x v="85"/>
    <x v="89"/>
    <x v="2"/>
    <x v="4"/>
    <x v="0"/>
    <x v="0"/>
    <x v="8"/>
    <x v="2"/>
    <x v="12"/>
    <x v="2"/>
  </r>
  <r>
    <s v="TX502346"/>
    <x v="16"/>
    <x v="12"/>
    <n v="82.8"/>
    <n v="331.2"/>
    <x v="86"/>
    <x v="88"/>
    <x v="2"/>
    <x v="4"/>
    <x v="0"/>
    <x v="0"/>
    <x v="8"/>
    <x v="2"/>
    <x v="12"/>
    <x v="2"/>
  </r>
  <r>
    <s v="TX502347"/>
    <x v="2"/>
    <x v="0"/>
    <n v="97.7"/>
    <n v="97.7"/>
    <x v="86"/>
    <x v="90"/>
    <x v="2"/>
    <x v="1"/>
    <x v="0"/>
    <x v="0"/>
    <x v="8"/>
    <x v="3"/>
    <x v="12"/>
    <x v="2"/>
  </r>
  <r>
    <s v="TX502348"/>
    <x v="6"/>
    <x v="9"/>
    <n v="83.6"/>
    <n v="418"/>
    <x v="86"/>
    <x v="90"/>
    <x v="2"/>
    <x v="4"/>
    <x v="0"/>
    <x v="0"/>
    <x v="8"/>
    <x v="3"/>
    <x v="12"/>
    <x v="2"/>
  </r>
  <r>
    <s v="TX502349"/>
    <x v="8"/>
    <x v="9"/>
    <n v="23.5"/>
    <n v="117.5"/>
    <x v="86"/>
    <x v="84"/>
    <x v="3"/>
    <x v="0"/>
    <x v="0"/>
    <x v="0"/>
    <x v="8"/>
    <x v="5"/>
    <x v="12"/>
    <x v="3"/>
  </r>
  <r>
    <s v="TX502350"/>
    <x v="9"/>
    <x v="2"/>
    <n v="44.6"/>
    <n v="133.80000000000001"/>
    <x v="86"/>
    <x v="88"/>
    <x v="2"/>
    <x v="4"/>
    <x v="1"/>
    <x v="0"/>
    <x v="26"/>
    <x v="2"/>
    <x v="12"/>
    <x v="2"/>
  </r>
  <r>
    <s v="TX502351"/>
    <x v="0"/>
    <x v="2"/>
    <n v="20.100000000000001"/>
    <n v="60.300000000000004"/>
    <x v="86"/>
    <x v="89"/>
    <x v="2"/>
    <x v="3"/>
    <x v="4"/>
    <x v="0"/>
    <x v="11"/>
    <x v="1"/>
    <x v="12"/>
    <x v="2"/>
  </r>
  <r>
    <s v="TX502352"/>
    <x v="2"/>
    <x v="9"/>
    <n v="153.6"/>
    <n v="768"/>
    <x v="86"/>
    <x v="90"/>
    <x v="2"/>
    <x v="1"/>
    <x v="2"/>
    <x v="0"/>
    <x v="53"/>
    <x v="3"/>
    <x v="12"/>
    <x v="2"/>
  </r>
  <r>
    <s v="TX502353"/>
    <x v="1"/>
    <x v="1"/>
    <n v="71.8"/>
    <n v="143.6"/>
    <x v="86"/>
    <x v="84"/>
    <x v="2"/>
    <x v="1"/>
    <x v="0"/>
    <x v="0"/>
    <x v="1"/>
    <x v="5"/>
    <x v="12"/>
    <x v="2"/>
  </r>
  <r>
    <s v="TX502354"/>
    <x v="10"/>
    <x v="0"/>
    <n v="64.7"/>
    <n v="64.7"/>
    <x v="86"/>
    <x v="89"/>
    <x v="0"/>
    <x v="0"/>
    <x v="1"/>
    <x v="0"/>
    <x v="1"/>
    <x v="1"/>
    <x v="12"/>
    <x v="0"/>
  </r>
  <r>
    <s v="TX502355"/>
    <x v="9"/>
    <x v="8"/>
    <n v="60.4"/>
    <n v="483.2"/>
    <x v="86"/>
    <x v="89"/>
    <x v="2"/>
    <x v="3"/>
    <x v="2"/>
    <x v="0"/>
    <x v="2"/>
    <x v="1"/>
    <x v="12"/>
    <x v="2"/>
  </r>
  <r>
    <s v="TX502356"/>
    <x v="6"/>
    <x v="12"/>
    <n v="86"/>
    <n v="344"/>
    <x v="86"/>
    <x v="88"/>
    <x v="2"/>
    <x v="2"/>
    <x v="2"/>
    <x v="0"/>
    <x v="22"/>
    <x v="2"/>
    <x v="12"/>
    <x v="2"/>
  </r>
  <r>
    <s v="TX502357"/>
    <x v="12"/>
    <x v="1"/>
    <n v="42.1"/>
    <n v="84.2"/>
    <x v="86"/>
    <x v="90"/>
    <x v="2"/>
    <x v="4"/>
    <x v="1"/>
    <x v="0"/>
    <x v="34"/>
    <x v="3"/>
    <x v="12"/>
    <x v="2"/>
  </r>
  <r>
    <s v="TX502358"/>
    <x v="16"/>
    <x v="11"/>
    <n v="51.1"/>
    <n v="459.90000000000003"/>
    <x v="86"/>
    <x v="90"/>
    <x v="1"/>
    <x v="2"/>
    <x v="1"/>
    <x v="0"/>
    <x v="3"/>
    <x v="3"/>
    <x v="12"/>
    <x v="1"/>
  </r>
  <r>
    <s v="TX502359"/>
    <x v="9"/>
    <x v="12"/>
    <n v="73.8"/>
    <n v="295.2"/>
    <x v="86"/>
    <x v="90"/>
    <x v="1"/>
    <x v="4"/>
    <x v="0"/>
    <x v="0"/>
    <x v="3"/>
    <x v="3"/>
    <x v="12"/>
    <x v="1"/>
  </r>
  <r>
    <s v="TX502360"/>
    <x v="8"/>
    <x v="9"/>
    <n v="27"/>
    <n v="135"/>
    <x v="86"/>
    <x v="88"/>
    <x v="2"/>
    <x v="2"/>
    <x v="2"/>
    <x v="0"/>
    <x v="3"/>
    <x v="2"/>
    <x v="12"/>
    <x v="2"/>
  </r>
  <r>
    <s v="TX502361"/>
    <x v="8"/>
    <x v="13"/>
    <n v="60.1"/>
    <n v="360.6"/>
    <x v="86"/>
    <x v="90"/>
    <x v="1"/>
    <x v="3"/>
    <x v="0"/>
    <x v="0"/>
    <x v="3"/>
    <x v="3"/>
    <x v="12"/>
    <x v="1"/>
  </r>
  <r>
    <s v="TX502362"/>
    <x v="2"/>
    <x v="3"/>
    <n v="94.1"/>
    <n v="658.69999999999993"/>
    <x v="86"/>
    <x v="89"/>
    <x v="2"/>
    <x v="4"/>
    <x v="1"/>
    <x v="0"/>
    <x v="3"/>
    <x v="1"/>
    <x v="12"/>
    <x v="2"/>
  </r>
  <r>
    <s v="TX502363"/>
    <x v="2"/>
    <x v="1"/>
    <n v="124.1"/>
    <n v="248.2"/>
    <x v="86"/>
    <x v="86"/>
    <x v="2"/>
    <x v="2"/>
    <x v="3"/>
    <x v="0"/>
    <x v="43"/>
    <x v="7"/>
    <x v="12"/>
    <x v="2"/>
  </r>
  <r>
    <s v="TX502364"/>
    <x v="8"/>
    <x v="12"/>
    <n v="16.899999999999999"/>
    <n v="67.599999999999994"/>
    <x v="86"/>
    <x v="88"/>
    <x v="1"/>
    <x v="3"/>
    <x v="0"/>
    <x v="0"/>
    <x v="6"/>
    <x v="2"/>
    <x v="12"/>
    <x v="1"/>
  </r>
  <r>
    <s v="TX502365"/>
    <x v="1"/>
    <x v="0"/>
    <n v="36.9"/>
    <n v="36.9"/>
    <x v="86"/>
    <x v="90"/>
    <x v="1"/>
    <x v="0"/>
    <x v="0"/>
    <x v="0"/>
    <x v="6"/>
    <x v="3"/>
    <x v="12"/>
    <x v="1"/>
  </r>
  <r>
    <s v="TX502366"/>
    <x v="9"/>
    <x v="1"/>
    <n v="22.6"/>
    <n v="45.2"/>
    <x v="86"/>
    <x v="94"/>
    <x v="2"/>
    <x v="2"/>
    <x v="1"/>
    <x v="0"/>
    <x v="8"/>
    <x v="10"/>
    <x v="12"/>
    <x v="2"/>
  </r>
  <r>
    <s v="TX502367"/>
    <x v="7"/>
    <x v="12"/>
    <n v="35"/>
    <n v="140"/>
    <x v="86"/>
    <x v="92"/>
    <x v="1"/>
    <x v="3"/>
    <x v="1"/>
    <x v="0"/>
    <x v="8"/>
    <x v="0"/>
    <x v="12"/>
    <x v="1"/>
  </r>
  <r>
    <s v="TX502368"/>
    <x v="9"/>
    <x v="13"/>
    <n v="63.6"/>
    <n v="381.6"/>
    <x v="86"/>
    <x v="95"/>
    <x v="0"/>
    <x v="1"/>
    <x v="2"/>
    <x v="0"/>
    <x v="8"/>
    <x v="6"/>
    <x v="12"/>
    <x v="0"/>
  </r>
  <r>
    <s v="TX502369"/>
    <x v="15"/>
    <x v="12"/>
    <n v="78.599999999999994"/>
    <n v="314.39999999999998"/>
    <x v="86"/>
    <x v="90"/>
    <x v="1"/>
    <x v="4"/>
    <x v="1"/>
    <x v="0"/>
    <x v="8"/>
    <x v="3"/>
    <x v="12"/>
    <x v="1"/>
  </r>
  <r>
    <s v="TX502370"/>
    <x v="3"/>
    <x v="1"/>
    <n v="38.5"/>
    <n v="77"/>
    <x v="86"/>
    <x v="90"/>
    <x v="1"/>
    <x v="0"/>
    <x v="2"/>
    <x v="0"/>
    <x v="8"/>
    <x v="3"/>
    <x v="12"/>
    <x v="1"/>
  </r>
  <r>
    <s v="TX502371"/>
    <x v="8"/>
    <x v="5"/>
    <n v="71.5"/>
    <n v="786.5"/>
    <x v="86"/>
    <x v="90"/>
    <x v="2"/>
    <x v="1"/>
    <x v="4"/>
    <x v="0"/>
    <x v="8"/>
    <x v="3"/>
    <x v="12"/>
    <x v="2"/>
  </r>
  <r>
    <s v="TX502372"/>
    <x v="6"/>
    <x v="12"/>
    <n v="121.4"/>
    <n v="485.6"/>
    <x v="86"/>
    <x v="84"/>
    <x v="1"/>
    <x v="1"/>
    <x v="2"/>
    <x v="0"/>
    <x v="17"/>
    <x v="5"/>
    <x v="12"/>
    <x v="1"/>
  </r>
  <r>
    <s v="TX502373"/>
    <x v="11"/>
    <x v="0"/>
    <n v="40.200000000000003"/>
    <n v="40.200000000000003"/>
    <x v="86"/>
    <x v="88"/>
    <x v="2"/>
    <x v="0"/>
    <x v="2"/>
    <x v="0"/>
    <x v="11"/>
    <x v="2"/>
    <x v="12"/>
    <x v="2"/>
  </r>
  <r>
    <s v="TX502374"/>
    <x v="5"/>
    <x v="9"/>
    <n v="31.9"/>
    <n v="159.5"/>
    <x v="86"/>
    <x v="89"/>
    <x v="2"/>
    <x v="2"/>
    <x v="2"/>
    <x v="0"/>
    <x v="28"/>
    <x v="1"/>
    <x v="12"/>
    <x v="2"/>
  </r>
  <r>
    <s v="TX502375"/>
    <x v="14"/>
    <x v="9"/>
    <n v="15.8"/>
    <n v="79"/>
    <x v="87"/>
    <x v="89"/>
    <x v="1"/>
    <x v="3"/>
    <x v="2"/>
    <x v="0"/>
    <x v="21"/>
    <x v="3"/>
    <x v="12"/>
    <x v="1"/>
  </r>
  <r>
    <s v="TX502376"/>
    <x v="10"/>
    <x v="1"/>
    <n v="25.1"/>
    <n v="50.2"/>
    <x v="87"/>
    <x v="88"/>
    <x v="0"/>
    <x v="1"/>
    <x v="0"/>
    <x v="0"/>
    <x v="21"/>
    <x v="1"/>
    <x v="12"/>
    <x v="0"/>
  </r>
  <r>
    <s v="TX502377"/>
    <x v="1"/>
    <x v="44"/>
    <n v="38.1"/>
    <n v="876.30000000000007"/>
    <x v="87"/>
    <x v="89"/>
    <x v="2"/>
    <x v="4"/>
    <x v="0"/>
    <x v="0"/>
    <x v="1"/>
    <x v="3"/>
    <x v="12"/>
    <x v="2"/>
  </r>
  <r>
    <s v="TX502378"/>
    <x v="3"/>
    <x v="1"/>
    <n v="42.2"/>
    <n v="84.4"/>
    <x v="87"/>
    <x v="88"/>
    <x v="2"/>
    <x v="0"/>
    <x v="2"/>
    <x v="0"/>
    <x v="1"/>
    <x v="1"/>
    <x v="12"/>
    <x v="2"/>
  </r>
  <r>
    <s v="TX502379"/>
    <x v="0"/>
    <x v="7"/>
    <n v="12.3"/>
    <n v="123"/>
    <x v="87"/>
    <x v="89"/>
    <x v="2"/>
    <x v="4"/>
    <x v="0"/>
    <x v="0"/>
    <x v="2"/>
    <x v="3"/>
    <x v="12"/>
    <x v="2"/>
  </r>
  <r>
    <s v="TX502380"/>
    <x v="7"/>
    <x v="0"/>
    <n v="30.2"/>
    <n v="30.2"/>
    <x v="87"/>
    <x v="88"/>
    <x v="2"/>
    <x v="1"/>
    <x v="2"/>
    <x v="0"/>
    <x v="34"/>
    <x v="1"/>
    <x v="12"/>
    <x v="2"/>
  </r>
  <r>
    <s v="TX502381"/>
    <x v="5"/>
    <x v="2"/>
    <n v="25.3"/>
    <n v="75.900000000000006"/>
    <x v="87"/>
    <x v="84"/>
    <x v="2"/>
    <x v="2"/>
    <x v="0"/>
    <x v="0"/>
    <x v="3"/>
    <x v="2"/>
    <x v="12"/>
    <x v="2"/>
  </r>
  <r>
    <s v="TX502382"/>
    <x v="8"/>
    <x v="9"/>
    <n v="29.7"/>
    <n v="148.5"/>
    <x v="87"/>
    <x v="88"/>
    <x v="1"/>
    <x v="3"/>
    <x v="0"/>
    <x v="0"/>
    <x v="3"/>
    <x v="1"/>
    <x v="12"/>
    <x v="1"/>
  </r>
  <r>
    <s v="TX502383"/>
    <x v="9"/>
    <x v="8"/>
    <n v="32.9"/>
    <n v="263.2"/>
    <x v="87"/>
    <x v="89"/>
    <x v="0"/>
    <x v="3"/>
    <x v="2"/>
    <x v="0"/>
    <x v="3"/>
    <x v="3"/>
    <x v="12"/>
    <x v="0"/>
  </r>
  <r>
    <s v="TX502384"/>
    <x v="10"/>
    <x v="1"/>
    <n v="43.6"/>
    <n v="87.2"/>
    <x v="87"/>
    <x v="89"/>
    <x v="1"/>
    <x v="1"/>
    <x v="2"/>
    <x v="0"/>
    <x v="3"/>
    <x v="3"/>
    <x v="12"/>
    <x v="1"/>
  </r>
  <r>
    <s v="TX502385"/>
    <x v="15"/>
    <x v="12"/>
    <n v="78.400000000000006"/>
    <n v="313.60000000000002"/>
    <x v="87"/>
    <x v="89"/>
    <x v="1"/>
    <x v="2"/>
    <x v="0"/>
    <x v="0"/>
    <x v="3"/>
    <x v="3"/>
    <x v="12"/>
    <x v="1"/>
  </r>
  <r>
    <s v="TX502386"/>
    <x v="6"/>
    <x v="1"/>
    <n v="56.5"/>
    <n v="113"/>
    <x v="87"/>
    <x v="92"/>
    <x v="1"/>
    <x v="1"/>
    <x v="1"/>
    <x v="0"/>
    <x v="3"/>
    <x v="5"/>
    <x v="12"/>
    <x v="1"/>
  </r>
  <r>
    <s v="TX502387"/>
    <x v="16"/>
    <x v="0"/>
    <n v="36.700000000000003"/>
    <n v="36.700000000000003"/>
    <x v="87"/>
    <x v="89"/>
    <x v="2"/>
    <x v="0"/>
    <x v="2"/>
    <x v="0"/>
    <x v="3"/>
    <x v="3"/>
    <x v="12"/>
    <x v="2"/>
  </r>
  <r>
    <s v="TX502388"/>
    <x v="2"/>
    <x v="12"/>
    <n v="103.6"/>
    <n v="414.4"/>
    <x v="87"/>
    <x v="91"/>
    <x v="1"/>
    <x v="4"/>
    <x v="2"/>
    <x v="0"/>
    <x v="3"/>
    <x v="11"/>
    <x v="12"/>
    <x v="1"/>
  </r>
  <r>
    <s v="TX502389"/>
    <x v="8"/>
    <x v="13"/>
    <n v="16.2"/>
    <n v="97.199999999999989"/>
    <x v="87"/>
    <x v="92"/>
    <x v="1"/>
    <x v="1"/>
    <x v="2"/>
    <x v="0"/>
    <x v="6"/>
    <x v="5"/>
    <x v="12"/>
    <x v="1"/>
  </r>
  <r>
    <s v="TX502390"/>
    <x v="8"/>
    <x v="1"/>
    <n v="20.2"/>
    <n v="40.4"/>
    <x v="87"/>
    <x v="89"/>
    <x v="2"/>
    <x v="0"/>
    <x v="0"/>
    <x v="0"/>
    <x v="6"/>
    <x v="3"/>
    <x v="12"/>
    <x v="2"/>
  </r>
  <r>
    <s v="TX502391"/>
    <x v="11"/>
    <x v="1"/>
    <n v="26.9"/>
    <n v="53.8"/>
    <x v="87"/>
    <x v="88"/>
    <x v="2"/>
    <x v="2"/>
    <x v="0"/>
    <x v="0"/>
    <x v="6"/>
    <x v="1"/>
    <x v="12"/>
    <x v="2"/>
  </r>
  <r>
    <s v="TX502392"/>
    <x v="1"/>
    <x v="1"/>
    <n v="82.4"/>
    <n v="164.8"/>
    <x v="87"/>
    <x v="84"/>
    <x v="0"/>
    <x v="0"/>
    <x v="0"/>
    <x v="0"/>
    <x v="7"/>
    <x v="2"/>
    <x v="12"/>
    <x v="0"/>
  </r>
  <r>
    <s v="TX502393"/>
    <x v="2"/>
    <x v="1"/>
    <n v="117.8"/>
    <n v="235.6"/>
    <x v="87"/>
    <x v="88"/>
    <x v="1"/>
    <x v="1"/>
    <x v="2"/>
    <x v="0"/>
    <x v="8"/>
    <x v="1"/>
    <x v="12"/>
    <x v="1"/>
  </r>
  <r>
    <s v="TX502394"/>
    <x v="11"/>
    <x v="12"/>
    <n v="36.700000000000003"/>
    <n v="146.80000000000001"/>
    <x v="87"/>
    <x v="89"/>
    <x v="1"/>
    <x v="1"/>
    <x v="0"/>
    <x v="0"/>
    <x v="8"/>
    <x v="3"/>
    <x v="12"/>
    <x v="1"/>
  </r>
  <r>
    <s v="TX502395"/>
    <x v="17"/>
    <x v="2"/>
    <n v="46.8"/>
    <n v="140.39999999999998"/>
    <x v="87"/>
    <x v="89"/>
    <x v="1"/>
    <x v="4"/>
    <x v="2"/>
    <x v="0"/>
    <x v="10"/>
    <x v="3"/>
    <x v="12"/>
    <x v="1"/>
  </r>
  <r>
    <s v="TX502396"/>
    <x v="3"/>
    <x v="0"/>
    <n v="61.4"/>
    <n v="61.4"/>
    <x v="87"/>
    <x v="89"/>
    <x v="1"/>
    <x v="1"/>
    <x v="0"/>
    <x v="0"/>
    <x v="10"/>
    <x v="3"/>
    <x v="12"/>
    <x v="1"/>
  </r>
  <r>
    <s v="TX502397"/>
    <x v="15"/>
    <x v="1"/>
    <n v="22.9"/>
    <n v="45.8"/>
    <x v="87"/>
    <x v="89"/>
    <x v="1"/>
    <x v="0"/>
    <x v="0"/>
    <x v="0"/>
    <x v="11"/>
    <x v="3"/>
    <x v="12"/>
    <x v="1"/>
  </r>
  <r>
    <s v="TX502398"/>
    <x v="10"/>
    <x v="1"/>
    <n v="22.1"/>
    <n v="44.2"/>
    <x v="87"/>
    <x v="89"/>
    <x v="2"/>
    <x v="4"/>
    <x v="0"/>
    <x v="0"/>
    <x v="11"/>
    <x v="3"/>
    <x v="12"/>
    <x v="2"/>
  </r>
  <r>
    <s v="TX502399"/>
    <x v="12"/>
    <x v="1"/>
    <n v="31"/>
    <n v="62"/>
    <x v="87"/>
    <x v="88"/>
    <x v="2"/>
    <x v="2"/>
    <x v="0"/>
    <x v="0"/>
    <x v="18"/>
    <x v="1"/>
    <x v="12"/>
    <x v="2"/>
  </r>
  <r>
    <s v="TX502400"/>
    <x v="18"/>
    <x v="1"/>
    <n v="84.2"/>
    <n v="168.4"/>
    <x v="87"/>
    <x v="88"/>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9176B8-1A96-44D8-BE40-7AE6110A1D35}" name="products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8:F30" firstHeaderRow="1" firstDataRow="2" firstDataCol="1"/>
  <pivotFields count="20">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x="6"/>
        <item n="More than 10" sd="0"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34" format="8" series="1">
      <pivotArea type="data" outline="0" fieldPosition="0">
        <references count="2">
          <reference field="4294967294" count="1" selected="0">
            <x v="0"/>
          </reference>
          <reference field="14" count="1" selected="0">
            <x v="0"/>
          </reference>
        </references>
      </pivotArea>
    </chartFormat>
    <chartFormat chart="34" format="9" series="1">
      <pivotArea type="data" outline="0" fieldPosition="0">
        <references count="2">
          <reference field="4294967294" count="1" selected="0">
            <x v="0"/>
          </reference>
          <reference field="14" count="1" selected="0">
            <x v="1"/>
          </reference>
        </references>
      </pivotArea>
    </chartFormat>
    <chartFormat chart="34" format="10" series="1">
      <pivotArea type="data" outline="0" fieldPosition="0">
        <references count="2">
          <reference field="4294967294" count="1" selected="0">
            <x v="0"/>
          </reference>
          <reference field="14" count="1" selected="0">
            <x v="2"/>
          </reference>
        </references>
      </pivotArea>
    </chartFormat>
    <chartFormat chart="34"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EBCCE0-9FFA-4386-83E9-64B0FA476AAD}" name="gender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94:B99" firstHeaderRow="1" firstDataRow="1" firstDataCol="1"/>
  <pivotFields count="20">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x="6"/>
        <item n="More than 10" sd="0"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4">
    <chartFormat chart="27" format="4"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7" format="6" series="1">
      <pivotArea type="data" outline="0" fieldPosition="0">
        <references count="2">
          <reference field="4294967294" count="1" selected="0">
            <x v="0"/>
          </reference>
          <reference field="14" count="1" selected="0">
            <x v="1"/>
          </reference>
        </references>
      </pivotArea>
    </chartFormat>
    <chartFormat chart="27" format="7" series="1">
      <pivotArea type="data" outline="0" fieldPosition="0">
        <references count="2">
          <reference field="4294967294" count="1" selected="0">
            <x v="0"/>
          </reference>
          <reference field="14" count="1" selected="0">
            <x v="2"/>
          </reference>
        </references>
      </pivotArea>
    </chartFormat>
    <chartFormat chart="27" format="8" series="1">
      <pivotArea type="data" outline="0" fieldPosition="0">
        <references count="2">
          <reference field="4294967294" count="1" selected="0">
            <x v="0"/>
          </reference>
          <reference field="14" count="1" selected="0">
            <x v="3"/>
          </reference>
        </references>
      </pivotArea>
    </chartFormat>
    <chartFormat chart="2" format="10" series="1">
      <pivotArea type="data" outline="0" fieldPosition="0">
        <references count="2">
          <reference field="4294967294" count="1" selected="0">
            <x v="0"/>
          </reference>
          <reference field="14" count="1" selected="0">
            <x v="1"/>
          </reference>
        </references>
      </pivotArea>
    </chartFormat>
    <chartFormat chart="2" format="11" series="1">
      <pivotArea type="data" outline="0" fieldPosition="0">
        <references count="2">
          <reference field="4294967294" count="1" selected="0">
            <x v="0"/>
          </reference>
          <reference field="14" count="1" selected="0">
            <x v="2"/>
          </reference>
        </references>
      </pivotArea>
    </chartFormat>
    <chartFormat chart="2" format="12" series="1">
      <pivotArea type="data" outline="0" fieldPosition="0">
        <references count="2">
          <reference field="4294967294" count="1" selected="0">
            <x v="0"/>
          </reference>
          <reference field="14" count="1" selected="0">
            <x v="3"/>
          </reference>
        </references>
      </pivotArea>
    </chartFormat>
    <chartFormat chart="34" format="8" series="1">
      <pivotArea type="data" outline="0" fieldPosition="0">
        <references count="2">
          <reference field="4294967294" count="1" selected="0">
            <x v="0"/>
          </reference>
          <reference field="14" count="1" selected="0">
            <x v="0"/>
          </reference>
        </references>
      </pivotArea>
    </chartFormat>
    <chartFormat chart="34" format="9" series="1">
      <pivotArea type="data" outline="0" fieldPosition="0">
        <references count="2">
          <reference field="4294967294" count="1" selected="0">
            <x v="0"/>
          </reference>
          <reference field="14" count="1" selected="0">
            <x v="1"/>
          </reference>
        </references>
      </pivotArea>
    </chartFormat>
    <chartFormat chart="34" format="10" series="1">
      <pivotArea type="data" outline="0" fieldPosition="0">
        <references count="2">
          <reference field="4294967294" count="1" selected="0">
            <x v="0"/>
          </reference>
          <reference field="14" count="1" selected="0">
            <x v="2"/>
          </reference>
        </references>
      </pivotArea>
    </chartFormat>
    <chartFormat chart="34" format="11" series="1">
      <pivotArea type="data" outline="0" fieldPosition="0">
        <references count="2">
          <reference field="4294967294" count="1" selected="0">
            <x v="0"/>
          </reference>
          <reference field="14" count="1" selected="0">
            <x v="3"/>
          </reference>
        </references>
      </pivotArea>
    </chartFormat>
    <chartFormat chart="2" format="13" series="1">
      <pivotArea type="data" outline="0" fieldPosition="0">
        <references count="2">
          <reference field="4294967294" count="1" selected="0">
            <x v="0"/>
          </reference>
          <reference field="14" count="1" selected="0">
            <x v="0"/>
          </reference>
        </references>
      </pivotArea>
    </chartFormat>
    <chartFormat chart="27" format="9" series="1">
      <pivotArea type="data" outline="0" fieldPosition="0">
        <references count="2">
          <reference field="4294967294" count="1" selected="0">
            <x v="0"/>
          </reference>
          <reference field="14" count="1" selected="0">
            <x v="0"/>
          </reference>
        </references>
      </pivotArea>
    </chartFormat>
    <chartFormat chart="36" format="0" series="1">
      <pivotArea type="data" outline="0" fieldPosition="0">
        <references count="1">
          <reference field="4294967294" count="1" selected="0">
            <x v="0"/>
          </reference>
        </references>
      </pivotArea>
    </chartFormat>
    <chartFormat chart="36" format="1">
      <pivotArea type="data" outline="0" fieldPosition="0">
        <references count="2">
          <reference field="4294967294" count="1" selected="0">
            <x v="0"/>
          </reference>
          <reference field="14" count="1" selected="0">
            <x v="0"/>
          </reference>
        </references>
      </pivotArea>
    </chartFormat>
    <chartFormat chart="36" format="2">
      <pivotArea type="data" outline="0" fieldPosition="0">
        <references count="2">
          <reference field="4294967294" count="1" selected="0">
            <x v="0"/>
          </reference>
          <reference field="14" count="1" selected="0">
            <x v="3"/>
          </reference>
        </references>
      </pivotArea>
    </chartFormat>
    <chartFormat chart="36" format="3">
      <pivotArea type="data" outline="0" fieldPosition="0">
        <references count="2">
          <reference field="4294967294" count="1" selected="0">
            <x v="0"/>
          </reference>
          <reference field="14" count="1" selected="0">
            <x v="2"/>
          </reference>
        </references>
      </pivotArea>
    </chartFormat>
    <chartFormat chart="36" format="4">
      <pivotArea type="data" outline="0" fieldPosition="0">
        <references count="2">
          <reference field="4294967294" count="1" selected="0">
            <x v="0"/>
          </reference>
          <reference field="14" count="1" selected="0">
            <x v="1"/>
          </reference>
        </references>
      </pivotArea>
    </chartFormat>
    <chartFormat chart="39" format="10" series="1">
      <pivotArea type="data" outline="0" fieldPosition="0">
        <references count="1">
          <reference field="4294967294" count="1" selected="0">
            <x v="0"/>
          </reference>
        </references>
      </pivotArea>
    </chartFormat>
    <chartFormat chart="39" format="11">
      <pivotArea type="data" outline="0" fieldPosition="0">
        <references count="2">
          <reference field="4294967294" count="1" selected="0">
            <x v="0"/>
          </reference>
          <reference field="14" count="1" selected="0">
            <x v="0"/>
          </reference>
        </references>
      </pivotArea>
    </chartFormat>
    <chartFormat chart="39" format="12">
      <pivotArea type="data" outline="0" fieldPosition="0">
        <references count="2">
          <reference field="4294967294" count="1" selected="0">
            <x v="0"/>
          </reference>
          <reference field="14" count="1" selected="0">
            <x v="1"/>
          </reference>
        </references>
      </pivotArea>
    </chartFormat>
    <chartFormat chart="39" format="13">
      <pivotArea type="data" outline="0" fieldPosition="0">
        <references count="2">
          <reference field="4294967294" count="1" selected="0">
            <x v="0"/>
          </reference>
          <reference field="14" count="1" selected="0">
            <x v="2"/>
          </reference>
        </references>
      </pivotArea>
    </chartFormat>
    <chartFormat chart="39"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AF6BB6-F2F3-483C-BB39-FF91C33F2150}" name="Pivo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0">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6"/>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3" numFmtId="164"/>
    <dataField name="Average of Days to Deliver" fld="12" subtotal="average" baseField="0" baseItem="4"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3B776E-D3B0-4F26-B62A-24EEC6C0A356}" name="howmany buy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76:B84" firstHeaderRow="1" firstDataRow="1" firstDataCol="1"/>
  <pivotFields count="20">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x="3"/>
        <item n="6 to 10" x="6"/>
        <item n="More than 10"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48"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7130E5-8F38-4B23-BB71-E1D691613538}" name="trend in  13 weeks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41:C55" firstHeaderRow="0" firstDataRow="1" firstDataCol="1"/>
  <pivotFields count="20">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1"/>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6"/>
        <item n="More than 10" sd="0"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Amount" fld="4" baseField="13" baseItem="5" numFmtId="166"/>
    <dataField name="Sum of Quantity" fld="2" baseField="0" baseItem="0"/>
  </dataFields>
  <chartFormats count="6">
    <chartFormat chart="27" format="4"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1"/>
          </reference>
        </references>
      </pivotArea>
    </chartFormat>
    <chartFormat chart="42" format="0" series="1">
      <pivotArea type="data" outline="0" fieldPosition="0">
        <references count="1">
          <reference field="4294967294" count="1" selected="0">
            <x v="1"/>
          </reference>
        </references>
      </pivotArea>
    </chartFormat>
    <chartFormat chart="42" format="1" series="1">
      <pivotArea type="data" outline="0" fieldPosition="0">
        <references count="1">
          <reference field="4294967294" count="1" selected="0">
            <x v="0"/>
          </reference>
        </references>
      </pivotArea>
    </chartFormat>
    <chartFormat chart="46" format="4" series="1">
      <pivotArea type="data" outline="0" fieldPosition="0">
        <references count="1">
          <reference field="4294967294" count="1" selected="0">
            <x v="1"/>
          </reference>
        </references>
      </pivotArea>
    </chartFormat>
    <chartFormat chart="4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4960DF-145A-4FD3-9017-D7636039916C}" name="maps "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3">
  <location ref="I8:L66" firstHeaderRow="0" firstDataRow="1" firstDataCol="2"/>
  <pivotFields count="20">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items count="96">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s>
      <extLst>
        <ext xmlns:x14="http://schemas.microsoft.com/office/spreadsheetml/2009/9/main" uri="{2946ED86-A175-432a-8AC1-64E0C546D7DE}">
          <x14:pivotField fillDownLabels="1"/>
        </ext>
      </extLst>
    </pivotField>
    <pivotField compact="0" outline="0" showAll="0" defaultSubtotal="0">
      <items count="4">
        <item x="0"/>
        <item x="2"/>
        <item x="1"/>
        <item x="3"/>
      </items>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items count="15">
        <item x="7"/>
        <item x="3"/>
        <item x="1"/>
        <item x="2"/>
        <item x="5"/>
        <item x="0"/>
        <item x="4"/>
        <item x="6"/>
        <item x="9"/>
        <item x="8"/>
        <item x="14"/>
        <item x="11"/>
        <item x="13"/>
        <item x="10"/>
        <item x="12"/>
      </items>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6"/>
        <item n="More than 10" sd="0" x="5"/>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chartFormats count="7">
    <chartFormat chart="31" format="5"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0C6128-970C-44C8-A85B-D69DF932A5ED}" name="customer anayl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127:G132" firstHeaderRow="1" firstDataRow="2" firstDataCol="1"/>
  <pivotFields count="20">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6"/>
        <item n="More than 10" sd="0"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6">
    <chartFormat chart="50"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4" format="0" series="1">
      <pivotArea type="data" outline="0" fieldPosition="0">
        <references count="2">
          <reference field="4294967294" count="1" selected="0">
            <x v="0"/>
          </reference>
          <reference field="17" count="1" selected="0">
            <x v="1"/>
          </reference>
        </references>
      </pivotArea>
    </chartFormat>
    <chartFormat chart="54" format="1" series="1">
      <pivotArea type="data" outline="0" fieldPosition="0">
        <references count="2">
          <reference field="4294967294" count="1" selected="0">
            <x v="0"/>
          </reference>
          <reference field="17" count="1" selected="0">
            <x v="2"/>
          </reference>
        </references>
      </pivotArea>
    </chartFormat>
    <chartFormat chart="54" format="2" series="1">
      <pivotArea type="data" outline="0" fieldPosition="0">
        <references count="2">
          <reference field="4294967294" count="1" selected="0">
            <x v="0"/>
          </reference>
          <reference field="17" count="1" selected="0">
            <x v="3"/>
          </reference>
        </references>
      </pivotArea>
    </chartFormat>
    <chartFormat chart="54" format="3" series="1">
      <pivotArea type="data" outline="0" fieldPosition="0">
        <references count="1">
          <reference field="4294967294" count="1" selected="0">
            <x v="0"/>
          </reference>
        </references>
      </pivotArea>
    </chartFormat>
    <chartFormat chart="54" format="4" series="1">
      <pivotArea type="data" outline="0" fieldPosition="0">
        <references count="2">
          <reference field="4294967294" count="1" selected="0">
            <x v="0"/>
          </reference>
          <reference field="9" count="1" selected="0">
            <x v="1"/>
          </reference>
        </references>
      </pivotArea>
    </chartFormat>
    <chartFormat chart="54" format="5" series="1">
      <pivotArea type="data" outline="0" fieldPosition="0">
        <references count="2">
          <reference field="4294967294" count="1" selected="0">
            <x v="0"/>
          </reference>
          <reference field="9" count="1" selected="0">
            <x v="2"/>
          </reference>
        </references>
      </pivotArea>
    </chartFormat>
    <chartFormat chart="54" format="6" series="1">
      <pivotArea type="data" outline="0" fieldPosition="0">
        <references count="2">
          <reference field="4294967294" count="1" selected="0">
            <x v="0"/>
          </reference>
          <reference field="9" count="1" selected="0">
            <x v="3"/>
          </reference>
        </references>
      </pivotArea>
    </chartFormat>
    <chartFormat chart="54" format="7" series="1">
      <pivotArea type="data" outline="0" fieldPosition="0">
        <references count="2">
          <reference field="4294967294" count="1" selected="0">
            <x v="0"/>
          </reference>
          <reference field="9" count="1" selected="0">
            <x v="4"/>
          </reference>
        </references>
      </pivotArea>
    </chartFormat>
    <chartFormat chart="57" format="13" series="1">
      <pivotArea type="data" outline="0" fieldPosition="0">
        <references count="2">
          <reference field="4294967294" count="1" selected="0">
            <x v="0"/>
          </reference>
          <reference field="9" count="1" selected="0">
            <x v="0"/>
          </reference>
        </references>
      </pivotArea>
    </chartFormat>
    <chartFormat chart="57" format="14" series="1">
      <pivotArea type="data" outline="0" fieldPosition="0">
        <references count="2">
          <reference field="4294967294" count="1" selected="0">
            <x v="0"/>
          </reference>
          <reference field="9" count="1" selected="0">
            <x v="1"/>
          </reference>
        </references>
      </pivotArea>
    </chartFormat>
    <chartFormat chart="57" format="15" series="1">
      <pivotArea type="data" outline="0" fieldPosition="0">
        <references count="2">
          <reference field="4294967294" count="1" selected="0">
            <x v="0"/>
          </reference>
          <reference field="9" count="1" selected="0">
            <x v="2"/>
          </reference>
        </references>
      </pivotArea>
    </chartFormat>
    <chartFormat chart="57" format="16" series="1">
      <pivotArea type="data" outline="0" fieldPosition="0">
        <references count="2">
          <reference field="4294967294" count="1" selected="0">
            <x v="0"/>
          </reference>
          <reference field="9" count="1" selected="0">
            <x v="3"/>
          </reference>
        </references>
      </pivotArea>
    </chartFormat>
    <chartFormat chart="57" format="17" series="1">
      <pivotArea type="data" outline="0" fieldPosition="0">
        <references count="2">
          <reference field="4294967294" count="1" selected="0">
            <x v="0"/>
          </reference>
          <reference field="9" count="1" selected="0">
            <x v="4"/>
          </reference>
        </references>
      </pivotArea>
    </chartFormat>
    <chartFormat chart="54" format="8"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66E9BE-EDD2-42DA-A1F2-E3C9D108DCBB}" name="days to deliv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A103:B119" firstHeaderRow="1" firstDataRow="1" firstDataCol="1"/>
  <pivotFields count="20">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6"/>
        <item n="More than 10" sd="0"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50"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CF840E-EAA8-4C65-840F-61C2498C3D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20">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6"/>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138BF1BC-EA66-48EB-9DC2-FF7ADAE6BE9C}" sourceName="Order Mode">
  <pivotTables>
    <pivotTable tabId="5" name="customer anaylsis"/>
    <pivotTable tabId="5" name="days to deliver"/>
    <pivotTable tabId="5" name="gender "/>
    <pivotTable tabId="5" name="maps "/>
    <pivotTable tabId="5" name="products gender"/>
    <pivotTable tabId="5" name="trend in  13 weeks "/>
    <pivotTable tabId="5" name="howmany buyed"/>
  </pivotTables>
  <data>
    <tabular pivotCacheId="1309844191">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A5377AB3-D79E-468D-9601-40605E294513}" sourceName="Gender Value">
  <pivotTables>
    <pivotTable tabId="5" name="customer anaylsis"/>
    <pivotTable tabId="5" name="days to deliver"/>
    <pivotTable tabId="5" name="howmany buyed"/>
    <pivotTable tabId="5" name="maps "/>
    <pivotTable tabId="5" name="Pivots"/>
    <pivotTable tabId="5" name="trend in  13 weeks "/>
  </pivotTables>
  <data>
    <tabular pivotCacheId="130984419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899B8B3E-3D8E-4F0F-AA42-A1A77C1758DC}" cache="Slicer_Order_Mode" caption="Order Mode" rowHeight="247650"/>
  <slicer name="Gender Value" xr10:uid="{A9AEF8CF-7D91-4B3B-9686-C94417512602}" cache="Slicer_Gender_Value" caption="Gender Valu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E547BE8C-5645-4D77-9E35-21428CD607FD}" cache="Slicer_Order_Mode" caption="Order Mode" style="SlicerStyleDark1" rowHeight="247650"/>
  <slicer name="Gender Value 1" xr10:uid="{329DD104-FBC9-44D9-A1A6-6921A9FD8941}" cache="Slicer_Gender_Value" caption="Gender Value"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323232"/>
      </a:dk2>
      <a:lt2>
        <a:srgbClr val="E3DED1"/>
      </a:lt2>
      <a:accent1>
        <a:srgbClr val="508843"/>
      </a:accent1>
      <a:accent2>
        <a:srgbClr val="FBA629"/>
      </a:accent2>
      <a:accent3>
        <a:srgbClr val="CE4252"/>
      </a:accent3>
      <a:accent4>
        <a:srgbClr val="645A3E"/>
      </a:accent4>
      <a:accent5>
        <a:srgbClr val="B9AD8D"/>
      </a:accent5>
      <a:accent6>
        <a:srgbClr val="D35260"/>
      </a:accent6>
      <a:hlink>
        <a:srgbClr val="E18B9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2B468-1AD7-4321-911E-0AFDBF9B9B4B}">
  <sheetPr>
    <tabColor rgb="FFFF0000"/>
  </sheetPr>
  <dimension ref="A2:V132"/>
  <sheetViews>
    <sheetView topLeftCell="F1" zoomScale="90" zoomScaleNormal="90" workbookViewId="0">
      <selection activeCell="G4" sqref="G4"/>
    </sheetView>
  </sheetViews>
  <sheetFormatPr defaultRowHeight="14.4" x14ac:dyDescent="0.3"/>
  <cols>
    <col min="1" max="1" width="13.5546875" bestFit="1" customWidth="1"/>
    <col min="2" max="2" width="13.33203125" bestFit="1" customWidth="1"/>
    <col min="3" max="3" width="14.88671875" bestFit="1" customWidth="1"/>
    <col min="4" max="4" width="6" bestFit="1" customWidth="1"/>
    <col min="5" max="5" width="9.33203125" bestFit="1" customWidth="1"/>
    <col min="6" max="7" width="11.109375" bestFit="1" customWidth="1"/>
    <col min="8" max="8" width="9.6640625" bestFit="1" customWidth="1"/>
    <col min="9" max="9" width="11.21875" bestFit="1" customWidth="1"/>
    <col min="10" max="10" width="21.5546875" bestFit="1" customWidth="1"/>
    <col min="11" max="11" width="14.88671875" bestFit="1" customWidth="1"/>
    <col min="12" max="12" width="14.33203125" bestFit="1" customWidth="1"/>
    <col min="13" max="32" width="9.6640625" bestFit="1" customWidth="1"/>
    <col min="33" max="89" width="10" bestFit="1" customWidth="1"/>
    <col min="90" max="90" width="11.109375" bestFit="1" customWidth="1"/>
  </cols>
  <sheetData>
    <row r="2" spans="1:22" x14ac:dyDescent="0.3">
      <c r="G2" t="s">
        <v>2523</v>
      </c>
    </row>
    <row r="3" spans="1:22" x14ac:dyDescent="0.3">
      <c r="A3" t="s">
        <v>2518</v>
      </c>
      <c r="B3" t="s">
        <v>2519</v>
      </c>
      <c r="C3" t="s">
        <v>2520</v>
      </c>
      <c r="D3" t="s">
        <v>2521</v>
      </c>
      <c r="E3" t="s">
        <v>2522</v>
      </c>
      <c r="G3" t="s">
        <v>2524</v>
      </c>
      <c r="H3" t="s">
        <v>2525</v>
      </c>
      <c r="I3" t="s">
        <v>2526</v>
      </c>
      <c r="J3" t="s">
        <v>2507</v>
      </c>
      <c r="K3" t="s">
        <v>2527</v>
      </c>
    </row>
    <row r="4" spans="1:22" x14ac:dyDescent="0.3">
      <c r="A4" s="20">
        <v>2400</v>
      </c>
      <c r="B4" s="20">
        <v>11997</v>
      </c>
      <c r="C4" s="20">
        <v>649019.80000000144</v>
      </c>
      <c r="D4" s="5">
        <v>3.9620833333333332</v>
      </c>
      <c r="E4" s="5">
        <v>2.3424999999999998</v>
      </c>
      <c r="G4" t="str">
        <f>TEXT(A4,"#,##")</f>
        <v>2,400</v>
      </c>
      <c r="H4" t="str">
        <f t="shared" ref="H4" si="0">TEXT(B4,"#,##")</f>
        <v>11,997</v>
      </c>
      <c r="I4" t="str">
        <f>TEXT(C4,"$#,##,.0k")</f>
        <v>$649.0k</v>
      </c>
      <c r="J4" t="str">
        <f>TEXT(D4,"0.0")</f>
        <v>4.0</v>
      </c>
      <c r="K4" t="str">
        <f>TEXT(E4,"0.0")</f>
        <v>2.3</v>
      </c>
    </row>
    <row r="8" spans="1:22" x14ac:dyDescent="0.3">
      <c r="A8" s="7" t="s">
        <v>2519</v>
      </c>
      <c r="B8" s="7" t="s">
        <v>2530</v>
      </c>
      <c r="I8" s="7" t="s">
        <v>10</v>
      </c>
      <c r="J8" s="7" t="s">
        <v>11</v>
      </c>
      <c r="K8" t="s">
        <v>2519</v>
      </c>
      <c r="L8" t="s">
        <v>2520</v>
      </c>
      <c r="O8" t="str">
        <f>I8</f>
        <v>State</v>
      </c>
      <c r="P8" t="str">
        <f t="shared" ref="P8:Q8" si="1">J8</f>
        <v>County</v>
      </c>
      <c r="Q8" t="str">
        <f t="shared" si="1"/>
        <v>Sum of Quantity</v>
      </c>
      <c r="T8" t="str">
        <f>I8</f>
        <v>State</v>
      </c>
      <c r="U8" t="str">
        <f>J8</f>
        <v>County</v>
      </c>
      <c r="V8" t="str">
        <f>L8</f>
        <v>Sum of Amount</v>
      </c>
    </row>
    <row r="9" spans="1:22" x14ac:dyDescent="0.3">
      <c r="A9" s="7" t="s">
        <v>2528</v>
      </c>
      <c r="B9" t="s">
        <v>2531</v>
      </c>
      <c r="C9" t="s">
        <v>2532</v>
      </c>
      <c r="D9" t="s">
        <v>2533</v>
      </c>
      <c r="E9" t="s">
        <v>2534</v>
      </c>
      <c r="F9" t="s">
        <v>2529</v>
      </c>
      <c r="I9" t="s">
        <v>19</v>
      </c>
      <c r="J9" t="s">
        <v>115</v>
      </c>
      <c r="K9" s="20">
        <v>579</v>
      </c>
      <c r="L9" s="20">
        <v>31884.999999999996</v>
      </c>
      <c r="O9" t="str">
        <f>IF(I9="","",I9)</f>
        <v>California</v>
      </c>
      <c r="P9" t="str">
        <f t="shared" ref="P9:Q9" si="2">IF(J9="","",J9)</f>
        <v>Alameda County</v>
      </c>
      <c r="Q9">
        <f t="shared" si="2"/>
        <v>579</v>
      </c>
      <c r="T9" t="str">
        <f>IF(I9="","",I9)</f>
        <v>California</v>
      </c>
      <c r="U9" t="str">
        <f>IF(J9="","",J9)</f>
        <v>Alameda County</v>
      </c>
      <c r="V9">
        <f>IF(L9="","",L9)</f>
        <v>31884.999999999996</v>
      </c>
    </row>
    <row r="10" spans="1:22" x14ac:dyDescent="0.3">
      <c r="A10" s="8" t="s">
        <v>44</v>
      </c>
      <c r="B10" s="20">
        <v>744</v>
      </c>
      <c r="C10" s="20">
        <v>713</v>
      </c>
      <c r="D10" s="20">
        <v>90</v>
      </c>
      <c r="E10" s="20">
        <v>98</v>
      </c>
      <c r="F10" s="20">
        <v>1645</v>
      </c>
      <c r="I10" t="s">
        <v>19</v>
      </c>
      <c r="J10" t="s">
        <v>20</v>
      </c>
      <c r="K10" s="20">
        <v>1</v>
      </c>
      <c r="L10" s="20">
        <v>10.9</v>
      </c>
      <c r="O10" t="str">
        <f t="shared" ref="O10:O66" si="3">IF(I10="","",I10)</f>
        <v>California</v>
      </c>
      <c r="P10" t="str">
        <f t="shared" ref="P10:P66" si="4">IF(J10="","",J10)</f>
        <v>Alpine County</v>
      </c>
      <c r="Q10">
        <f t="shared" ref="Q10:Q66" si="5">IF(K10="","",K10)</f>
        <v>1</v>
      </c>
      <c r="T10" t="str">
        <f t="shared" ref="T10:T66" si="6">IF(I10="","",I10)</f>
        <v>California</v>
      </c>
      <c r="U10" t="str">
        <f t="shared" ref="U10:U66" si="7">IF(J10="","",J10)</f>
        <v>Alpine County</v>
      </c>
      <c r="V10">
        <f t="shared" ref="V10:V66" si="8">IF(L10="","",L10)</f>
        <v>10.9</v>
      </c>
    </row>
    <row r="11" spans="1:22" x14ac:dyDescent="0.3">
      <c r="A11" s="8" t="s">
        <v>39</v>
      </c>
      <c r="B11" s="20">
        <v>716</v>
      </c>
      <c r="C11" s="20">
        <v>598</v>
      </c>
      <c r="D11" s="20">
        <v>18</v>
      </c>
      <c r="E11" s="20">
        <v>214</v>
      </c>
      <c r="F11" s="20">
        <v>1546</v>
      </c>
      <c r="I11" t="s">
        <v>19</v>
      </c>
      <c r="J11" t="s">
        <v>641</v>
      </c>
      <c r="K11" s="20">
        <v>9</v>
      </c>
      <c r="L11" s="20">
        <v>800.3</v>
      </c>
      <c r="O11" t="str">
        <f t="shared" si="3"/>
        <v>California</v>
      </c>
      <c r="P11" t="str">
        <f t="shared" si="4"/>
        <v>Amador County</v>
      </c>
      <c r="Q11">
        <f t="shared" si="5"/>
        <v>9</v>
      </c>
      <c r="T11" t="str">
        <f t="shared" si="6"/>
        <v>California</v>
      </c>
      <c r="U11" t="str">
        <f t="shared" si="7"/>
        <v>Amador County</v>
      </c>
      <c r="V11">
        <f t="shared" si="8"/>
        <v>800.3</v>
      </c>
    </row>
    <row r="12" spans="1:22" x14ac:dyDescent="0.3">
      <c r="A12" s="8" t="s">
        <v>26</v>
      </c>
      <c r="B12" s="20">
        <v>627</v>
      </c>
      <c r="C12" s="20">
        <v>393</v>
      </c>
      <c r="D12" s="20">
        <v>29</v>
      </c>
      <c r="E12" s="20">
        <v>137</v>
      </c>
      <c r="F12" s="20">
        <v>1186</v>
      </c>
      <c r="I12" t="s">
        <v>19</v>
      </c>
      <c r="J12" t="s">
        <v>967</v>
      </c>
      <c r="K12" s="20">
        <v>35</v>
      </c>
      <c r="L12" s="20">
        <v>1062.5999999999999</v>
      </c>
      <c r="O12" t="str">
        <f t="shared" si="3"/>
        <v>California</v>
      </c>
      <c r="P12" t="str">
        <f t="shared" si="4"/>
        <v>Butte County</v>
      </c>
      <c r="Q12">
        <f t="shared" si="5"/>
        <v>35</v>
      </c>
      <c r="T12" t="str">
        <f t="shared" si="6"/>
        <v>California</v>
      </c>
      <c r="U12" t="str">
        <f t="shared" si="7"/>
        <v>Butte County</v>
      </c>
      <c r="V12">
        <f t="shared" si="8"/>
        <v>1062.5999999999999</v>
      </c>
    </row>
    <row r="13" spans="1:22" x14ac:dyDescent="0.3">
      <c r="A13" s="8" t="s">
        <v>22</v>
      </c>
      <c r="B13" s="20">
        <v>568</v>
      </c>
      <c r="C13" s="20">
        <v>306</v>
      </c>
      <c r="D13" s="20">
        <v>22</v>
      </c>
      <c r="E13" s="20">
        <v>16</v>
      </c>
      <c r="F13" s="20">
        <v>912</v>
      </c>
      <c r="I13" t="s">
        <v>19</v>
      </c>
      <c r="J13" t="s">
        <v>84</v>
      </c>
      <c r="K13" s="20">
        <v>12</v>
      </c>
      <c r="L13" s="20">
        <v>326.20000000000005</v>
      </c>
      <c r="O13" t="str">
        <f t="shared" si="3"/>
        <v>California</v>
      </c>
      <c r="P13" t="str">
        <f t="shared" si="4"/>
        <v>Calaveras County</v>
      </c>
      <c r="Q13">
        <f t="shared" si="5"/>
        <v>12</v>
      </c>
      <c r="T13" t="str">
        <f t="shared" si="6"/>
        <v>California</v>
      </c>
      <c r="U13" t="str">
        <f t="shared" si="7"/>
        <v>Calaveras County</v>
      </c>
      <c r="V13">
        <f t="shared" si="8"/>
        <v>326.20000000000005</v>
      </c>
    </row>
    <row r="14" spans="1:22" x14ac:dyDescent="0.3">
      <c r="A14" s="8" t="s">
        <v>54</v>
      </c>
      <c r="B14" s="20">
        <v>482</v>
      </c>
      <c r="C14" s="20">
        <v>295</v>
      </c>
      <c r="D14" s="20">
        <v>8</v>
      </c>
      <c r="E14" s="20">
        <v>22</v>
      </c>
      <c r="F14" s="20">
        <v>807</v>
      </c>
      <c r="I14" t="s">
        <v>19</v>
      </c>
      <c r="J14" t="s">
        <v>1383</v>
      </c>
      <c r="K14" s="20">
        <v>4</v>
      </c>
      <c r="L14" s="20">
        <v>167.5</v>
      </c>
      <c r="O14" t="str">
        <f t="shared" si="3"/>
        <v>California</v>
      </c>
      <c r="P14" t="str">
        <f t="shared" si="4"/>
        <v>Colusa County</v>
      </c>
      <c r="Q14">
        <f t="shared" si="5"/>
        <v>4</v>
      </c>
      <c r="T14" t="str">
        <f t="shared" si="6"/>
        <v>California</v>
      </c>
      <c r="U14" t="str">
        <f t="shared" si="7"/>
        <v>Colusa County</v>
      </c>
      <c r="V14">
        <f t="shared" si="8"/>
        <v>167.5</v>
      </c>
    </row>
    <row r="15" spans="1:22" x14ac:dyDescent="0.3">
      <c r="A15" s="8" t="s">
        <v>16</v>
      </c>
      <c r="B15" s="20">
        <v>428</v>
      </c>
      <c r="C15" s="20">
        <v>293</v>
      </c>
      <c r="D15" s="20"/>
      <c r="E15" s="20">
        <v>24</v>
      </c>
      <c r="F15" s="20">
        <v>745</v>
      </c>
      <c r="I15" t="s">
        <v>19</v>
      </c>
      <c r="J15" t="s">
        <v>24</v>
      </c>
      <c r="K15" s="20">
        <v>341</v>
      </c>
      <c r="L15" s="20">
        <v>16168.7</v>
      </c>
      <c r="O15" t="str">
        <f t="shared" si="3"/>
        <v>California</v>
      </c>
      <c r="P15" t="str">
        <f t="shared" si="4"/>
        <v>Contra Costa County</v>
      </c>
      <c r="Q15">
        <f t="shared" si="5"/>
        <v>341</v>
      </c>
      <c r="T15" t="str">
        <f t="shared" si="6"/>
        <v>California</v>
      </c>
      <c r="U15" t="str">
        <f t="shared" si="7"/>
        <v>Contra Costa County</v>
      </c>
      <c r="V15">
        <f t="shared" si="8"/>
        <v>16168.7</v>
      </c>
    </row>
    <row r="16" spans="1:22" x14ac:dyDescent="0.3">
      <c r="A16" s="8" t="s">
        <v>46</v>
      </c>
      <c r="B16" s="20">
        <v>445</v>
      </c>
      <c r="C16" s="20">
        <v>202</v>
      </c>
      <c r="D16" s="20">
        <v>14</v>
      </c>
      <c r="E16" s="20">
        <v>39</v>
      </c>
      <c r="F16" s="20">
        <v>700</v>
      </c>
      <c r="I16" t="s">
        <v>19</v>
      </c>
      <c r="J16" t="s">
        <v>2204</v>
      </c>
      <c r="K16" s="20">
        <v>13</v>
      </c>
      <c r="L16" s="20">
        <v>322.40000000000003</v>
      </c>
      <c r="O16" t="str">
        <f t="shared" si="3"/>
        <v>California</v>
      </c>
      <c r="P16" t="str">
        <f t="shared" si="4"/>
        <v>Del Norte County</v>
      </c>
      <c r="Q16">
        <f t="shared" si="5"/>
        <v>13</v>
      </c>
      <c r="T16" t="str">
        <f t="shared" si="6"/>
        <v>California</v>
      </c>
      <c r="U16" t="str">
        <f t="shared" si="7"/>
        <v>Del Norte County</v>
      </c>
      <c r="V16">
        <f t="shared" si="8"/>
        <v>322.40000000000003</v>
      </c>
    </row>
    <row r="17" spans="1:22" x14ac:dyDescent="0.3">
      <c r="A17" s="8" t="s">
        <v>32</v>
      </c>
      <c r="B17" s="20">
        <v>431</v>
      </c>
      <c r="C17" s="20">
        <v>187</v>
      </c>
      <c r="D17" s="20">
        <v>14</v>
      </c>
      <c r="E17" s="20">
        <v>15</v>
      </c>
      <c r="F17" s="20">
        <v>647</v>
      </c>
      <c r="I17" t="s">
        <v>19</v>
      </c>
      <c r="J17" t="s">
        <v>437</v>
      </c>
      <c r="K17" s="20">
        <v>31</v>
      </c>
      <c r="L17" s="20">
        <v>2092.8000000000002</v>
      </c>
      <c r="O17" t="str">
        <f t="shared" si="3"/>
        <v>California</v>
      </c>
      <c r="P17" t="str">
        <f t="shared" si="4"/>
        <v>El Dorado County</v>
      </c>
      <c r="Q17">
        <f t="shared" si="5"/>
        <v>31</v>
      </c>
      <c r="T17" t="str">
        <f t="shared" si="6"/>
        <v>California</v>
      </c>
      <c r="U17" t="str">
        <f t="shared" si="7"/>
        <v>El Dorado County</v>
      </c>
      <c r="V17">
        <f t="shared" si="8"/>
        <v>2092.8000000000002</v>
      </c>
    </row>
    <row r="18" spans="1:22" x14ac:dyDescent="0.3">
      <c r="A18" s="8" t="s">
        <v>42</v>
      </c>
      <c r="B18" s="20">
        <v>264</v>
      </c>
      <c r="C18" s="20">
        <v>318</v>
      </c>
      <c r="D18" s="20">
        <v>15</v>
      </c>
      <c r="E18" s="20">
        <v>9</v>
      </c>
      <c r="F18" s="20">
        <v>606</v>
      </c>
      <c r="I18" t="s">
        <v>19</v>
      </c>
      <c r="J18" t="s">
        <v>28</v>
      </c>
      <c r="K18" s="20">
        <v>279</v>
      </c>
      <c r="L18" s="20">
        <v>12662.500000000002</v>
      </c>
      <c r="O18" t="str">
        <f t="shared" si="3"/>
        <v>California</v>
      </c>
      <c r="P18" t="str">
        <f t="shared" si="4"/>
        <v>Fresno County</v>
      </c>
      <c r="Q18">
        <f t="shared" si="5"/>
        <v>279</v>
      </c>
      <c r="T18" t="str">
        <f t="shared" si="6"/>
        <v>California</v>
      </c>
      <c r="U18" t="str">
        <f t="shared" si="7"/>
        <v>Fresno County</v>
      </c>
      <c r="V18">
        <f t="shared" si="8"/>
        <v>12662.500000000002</v>
      </c>
    </row>
    <row r="19" spans="1:22" x14ac:dyDescent="0.3">
      <c r="A19" s="8" t="s">
        <v>37</v>
      </c>
      <c r="B19" s="20">
        <v>296</v>
      </c>
      <c r="C19" s="20">
        <v>275</v>
      </c>
      <c r="D19" s="20">
        <v>9</v>
      </c>
      <c r="E19" s="20">
        <v>23</v>
      </c>
      <c r="F19" s="20">
        <v>603</v>
      </c>
      <c r="I19" t="s">
        <v>19</v>
      </c>
      <c r="J19" t="s">
        <v>208</v>
      </c>
      <c r="K19" s="20">
        <v>9</v>
      </c>
      <c r="L19" s="20">
        <v>343.2</v>
      </c>
      <c r="O19" t="str">
        <f t="shared" si="3"/>
        <v>California</v>
      </c>
      <c r="P19" t="str">
        <f t="shared" si="4"/>
        <v>Glenn County</v>
      </c>
      <c r="Q19">
        <f t="shared" si="5"/>
        <v>9</v>
      </c>
      <c r="T19" t="str">
        <f t="shared" si="6"/>
        <v>California</v>
      </c>
      <c r="U19" t="str">
        <f t="shared" si="7"/>
        <v>Glenn County</v>
      </c>
      <c r="V19">
        <f t="shared" si="8"/>
        <v>343.2</v>
      </c>
    </row>
    <row r="20" spans="1:22" x14ac:dyDescent="0.3">
      <c r="A20" s="8" t="s">
        <v>123</v>
      </c>
      <c r="B20" s="20">
        <v>153</v>
      </c>
      <c r="C20" s="20">
        <v>246</v>
      </c>
      <c r="D20" s="20">
        <v>30</v>
      </c>
      <c r="E20" s="20">
        <v>8</v>
      </c>
      <c r="F20" s="20">
        <v>437</v>
      </c>
      <c r="I20" t="s">
        <v>19</v>
      </c>
      <c r="J20" t="s">
        <v>587</v>
      </c>
      <c r="K20" s="20">
        <v>49</v>
      </c>
      <c r="L20" s="20">
        <v>2188.2999999999997</v>
      </c>
      <c r="O20" t="str">
        <f t="shared" si="3"/>
        <v>California</v>
      </c>
      <c r="P20" t="str">
        <f t="shared" si="4"/>
        <v>Humboldt County</v>
      </c>
      <c r="Q20">
        <f t="shared" si="5"/>
        <v>49</v>
      </c>
      <c r="T20" t="str">
        <f t="shared" si="6"/>
        <v>California</v>
      </c>
      <c r="U20" t="str">
        <f t="shared" si="7"/>
        <v>Humboldt County</v>
      </c>
      <c r="V20">
        <f t="shared" si="8"/>
        <v>2188.2999999999997</v>
      </c>
    </row>
    <row r="21" spans="1:22" x14ac:dyDescent="0.3">
      <c r="A21" s="8" t="s">
        <v>146</v>
      </c>
      <c r="B21" s="20">
        <v>189</v>
      </c>
      <c r="C21" s="20">
        <v>168</v>
      </c>
      <c r="D21" s="20">
        <v>10</v>
      </c>
      <c r="E21" s="20">
        <v>31</v>
      </c>
      <c r="F21" s="20">
        <v>398</v>
      </c>
      <c r="I21" t="s">
        <v>19</v>
      </c>
      <c r="J21" t="s">
        <v>331</v>
      </c>
      <c r="K21" s="20">
        <v>59</v>
      </c>
      <c r="L21" s="20">
        <v>2661.5999999999995</v>
      </c>
      <c r="O21" t="str">
        <f t="shared" si="3"/>
        <v>California</v>
      </c>
      <c r="P21" t="str">
        <f t="shared" si="4"/>
        <v>Imperial County</v>
      </c>
      <c r="Q21">
        <f t="shared" si="5"/>
        <v>59</v>
      </c>
      <c r="T21" t="str">
        <f t="shared" si="6"/>
        <v>California</v>
      </c>
      <c r="U21" t="str">
        <f t="shared" si="7"/>
        <v>Imperial County</v>
      </c>
      <c r="V21">
        <f t="shared" si="8"/>
        <v>2661.5999999999995</v>
      </c>
    </row>
    <row r="22" spans="1:22" x14ac:dyDescent="0.3">
      <c r="A22" s="8" t="s">
        <v>69</v>
      </c>
      <c r="B22" s="20">
        <v>234</v>
      </c>
      <c r="C22" s="20">
        <v>93</v>
      </c>
      <c r="D22" s="20">
        <v>19</v>
      </c>
      <c r="E22" s="20">
        <v>24</v>
      </c>
      <c r="F22" s="20">
        <v>370</v>
      </c>
      <c r="I22" t="s">
        <v>19</v>
      </c>
      <c r="J22" t="s">
        <v>86</v>
      </c>
      <c r="K22" s="20">
        <v>8</v>
      </c>
      <c r="L22" s="20">
        <v>887.5</v>
      </c>
      <c r="O22" t="str">
        <f t="shared" si="3"/>
        <v>California</v>
      </c>
      <c r="P22" t="str">
        <f t="shared" si="4"/>
        <v>Inyo County</v>
      </c>
      <c r="Q22">
        <f t="shared" si="5"/>
        <v>8</v>
      </c>
      <c r="T22" t="str">
        <f t="shared" si="6"/>
        <v>California</v>
      </c>
      <c r="U22" t="str">
        <f t="shared" si="7"/>
        <v>Inyo County</v>
      </c>
      <c r="V22">
        <f t="shared" si="8"/>
        <v>887.5</v>
      </c>
    </row>
    <row r="23" spans="1:22" x14ac:dyDescent="0.3">
      <c r="A23" s="8" t="s">
        <v>30</v>
      </c>
      <c r="B23" s="20">
        <v>146</v>
      </c>
      <c r="C23" s="20">
        <v>94</v>
      </c>
      <c r="D23" s="20">
        <v>4</v>
      </c>
      <c r="E23" s="20">
        <v>28</v>
      </c>
      <c r="F23" s="20">
        <v>272</v>
      </c>
      <c r="I23" t="s">
        <v>19</v>
      </c>
      <c r="J23" t="s">
        <v>147</v>
      </c>
      <c r="K23" s="20">
        <v>222</v>
      </c>
      <c r="L23" s="20">
        <v>11354.199999999993</v>
      </c>
      <c r="O23" t="str">
        <f t="shared" si="3"/>
        <v>California</v>
      </c>
      <c r="P23" t="str">
        <f t="shared" si="4"/>
        <v>Kern County</v>
      </c>
      <c r="Q23">
        <f t="shared" si="5"/>
        <v>222</v>
      </c>
      <c r="T23" t="str">
        <f t="shared" si="6"/>
        <v>California</v>
      </c>
      <c r="U23" t="str">
        <f t="shared" si="7"/>
        <v>Kern County</v>
      </c>
      <c r="V23">
        <f t="shared" si="8"/>
        <v>11354.199999999993</v>
      </c>
    </row>
    <row r="24" spans="1:22" x14ac:dyDescent="0.3">
      <c r="A24" s="8" t="s">
        <v>135</v>
      </c>
      <c r="B24" s="20">
        <v>127</v>
      </c>
      <c r="C24" s="20">
        <v>118</v>
      </c>
      <c r="D24" s="20">
        <v>13</v>
      </c>
      <c r="E24" s="20">
        <v>12</v>
      </c>
      <c r="F24" s="20">
        <v>270</v>
      </c>
      <c r="I24" t="s">
        <v>19</v>
      </c>
      <c r="J24" t="s">
        <v>334</v>
      </c>
      <c r="K24" s="20">
        <v>36</v>
      </c>
      <c r="L24" s="20">
        <v>1558.4</v>
      </c>
      <c r="O24" t="str">
        <f t="shared" si="3"/>
        <v>California</v>
      </c>
      <c r="P24" t="str">
        <f t="shared" si="4"/>
        <v>Kings County</v>
      </c>
      <c r="Q24">
        <f t="shared" si="5"/>
        <v>36</v>
      </c>
      <c r="T24" t="str">
        <f t="shared" si="6"/>
        <v>California</v>
      </c>
      <c r="U24" t="str">
        <f t="shared" si="7"/>
        <v>Kings County</v>
      </c>
      <c r="V24">
        <f t="shared" si="8"/>
        <v>1558.4</v>
      </c>
    </row>
    <row r="25" spans="1:22" x14ac:dyDescent="0.3">
      <c r="A25" s="8" t="s">
        <v>67</v>
      </c>
      <c r="B25" s="20">
        <v>179</v>
      </c>
      <c r="C25" s="20">
        <v>76</v>
      </c>
      <c r="D25" s="20">
        <v>3</v>
      </c>
      <c r="E25" s="20"/>
      <c r="F25" s="20">
        <v>258</v>
      </c>
      <c r="I25" t="s">
        <v>19</v>
      </c>
      <c r="J25" t="s">
        <v>949</v>
      </c>
      <c r="K25" s="20">
        <v>30</v>
      </c>
      <c r="L25" s="20">
        <v>2223.9</v>
      </c>
      <c r="O25" t="str">
        <f t="shared" si="3"/>
        <v>California</v>
      </c>
      <c r="P25" t="str">
        <f t="shared" si="4"/>
        <v>Lake County</v>
      </c>
      <c r="Q25">
        <f t="shared" si="5"/>
        <v>30</v>
      </c>
      <c r="T25" t="str">
        <f t="shared" si="6"/>
        <v>California</v>
      </c>
      <c r="U25" t="str">
        <f t="shared" si="7"/>
        <v>Lake County</v>
      </c>
      <c r="V25">
        <f t="shared" si="8"/>
        <v>2223.9</v>
      </c>
    </row>
    <row r="26" spans="1:22" x14ac:dyDescent="0.3">
      <c r="A26" s="8" t="s">
        <v>128</v>
      </c>
      <c r="B26" s="20">
        <v>99</v>
      </c>
      <c r="C26" s="20">
        <v>69</v>
      </c>
      <c r="D26" s="20">
        <v>3</v>
      </c>
      <c r="E26" s="20">
        <v>24</v>
      </c>
      <c r="F26" s="20">
        <v>195</v>
      </c>
      <c r="I26" t="s">
        <v>19</v>
      </c>
      <c r="J26" t="s">
        <v>1426</v>
      </c>
      <c r="K26" s="20">
        <v>1</v>
      </c>
      <c r="L26" s="20">
        <v>26.2</v>
      </c>
      <c r="O26" t="str">
        <f t="shared" si="3"/>
        <v>California</v>
      </c>
      <c r="P26" t="str">
        <f t="shared" si="4"/>
        <v>Lassen County</v>
      </c>
      <c r="Q26">
        <f t="shared" si="5"/>
        <v>1</v>
      </c>
      <c r="T26" t="str">
        <f t="shared" si="6"/>
        <v>California</v>
      </c>
      <c r="U26" t="str">
        <f t="shared" si="7"/>
        <v>Lassen County</v>
      </c>
      <c r="V26">
        <f t="shared" si="8"/>
        <v>26.2</v>
      </c>
    </row>
    <row r="27" spans="1:22" x14ac:dyDescent="0.3">
      <c r="A27" s="8" t="s">
        <v>76</v>
      </c>
      <c r="B27" s="20">
        <v>75</v>
      </c>
      <c r="C27" s="20">
        <v>103</v>
      </c>
      <c r="D27" s="20">
        <v>4</v>
      </c>
      <c r="E27" s="20">
        <v>6</v>
      </c>
      <c r="F27" s="20">
        <v>188</v>
      </c>
      <c r="I27" t="s">
        <v>19</v>
      </c>
      <c r="J27" t="s">
        <v>33</v>
      </c>
      <c r="K27" s="20">
        <v>3991</v>
      </c>
      <c r="L27" s="20">
        <v>215551.19999999981</v>
      </c>
      <c r="O27" t="str">
        <f t="shared" si="3"/>
        <v>California</v>
      </c>
      <c r="P27" t="str">
        <f t="shared" si="4"/>
        <v>Los Angeles County</v>
      </c>
      <c r="Q27">
        <f t="shared" si="5"/>
        <v>3991</v>
      </c>
      <c r="T27" t="str">
        <f t="shared" si="6"/>
        <v>California</v>
      </c>
      <c r="U27" t="str">
        <f t="shared" si="7"/>
        <v>Los Angeles County</v>
      </c>
      <c r="V27">
        <f t="shared" si="8"/>
        <v>215551.19999999981</v>
      </c>
    </row>
    <row r="28" spans="1:22" x14ac:dyDescent="0.3">
      <c r="A28" s="8" t="s">
        <v>81</v>
      </c>
      <c r="B28" s="20">
        <v>43</v>
      </c>
      <c r="C28" s="20">
        <v>90</v>
      </c>
      <c r="D28" s="20">
        <v>8</v>
      </c>
      <c r="E28" s="20">
        <v>6</v>
      </c>
      <c r="F28" s="20">
        <v>147</v>
      </c>
      <c r="I28" t="s">
        <v>19</v>
      </c>
      <c r="J28" t="s">
        <v>364</v>
      </c>
      <c r="K28" s="20">
        <v>45</v>
      </c>
      <c r="L28" s="20">
        <v>2687.3999999999996</v>
      </c>
      <c r="O28" t="str">
        <f t="shared" si="3"/>
        <v>California</v>
      </c>
      <c r="P28" t="str">
        <f t="shared" si="4"/>
        <v>Madera County</v>
      </c>
      <c r="Q28">
        <f t="shared" si="5"/>
        <v>45</v>
      </c>
      <c r="T28" t="str">
        <f t="shared" si="6"/>
        <v>California</v>
      </c>
      <c r="U28" t="str">
        <f t="shared" si="7"/>
        <v>Madera County</v>
      </c>
      <c r="V28">
        <f t="shared" si="8"/>
        <v>2687.3999999999996</v>
      </c>
    </row>
    <row r="29" spans="1:22" x14ac:dyDescent="0.3">
      <c r="A29" s="8" t="s">
        <v>171</v>
      </c>
      <c r="B29" s="20">
        <v>26</v>
      </c>
      <c r="C29" s="20">
        <v>35</v>
      </c>
      <c r="D29" s="20">
        <v>4</v>
      </c>
      <c r="E29" s="20"/>
      <c r="F29" s="20">
        <v>65</v>
      </c>
      <c r="I29" t="s">
        <v>19</v>
      </c>
      <c r="J29" t="s">
        <v>545</v>
      </c>
      <c r="K29" s="20">
        <v>39</v>
      </c>
      <c r="L29" s="20">
        <v>1463.3000000000002</v>
      </c>
      <c r="O29" t="str">
        <f t="shared" si="3"/>
        <v>California</v>
      </c>
      <c r="P29" t="str">
        <f t="shared" si="4"/>
        <v>Marin County</v>
      </c>
      <c r="Q29">
        <f t="shared" si="5"/>
        <v>39</v>
      </c>
      <c r="T29" t="str">
        <f t="shared" si="6"/>
        <v>California</v>
      </c>
      <c r="U29" t="str">
        <f t="shared" si="7"/>
        <v>Marin County</v>
      </c>
      <c r="V29">
        <f t="shared" si="8"/>
        <v>1463.3000000000002</v>
      </c>
    </row>
    <row r="30" spans="1:22" x14ac:dyDescent="0.3">
      <c r="A30" s="8" t="s">
        <v>2529</v>
      </c>
      <c r="B30" s="20">
        <v>6272</v>
      </c>
      <c r="C30" s="20">
        <v>4672</v>
      </c>
      <c r="D30" s="20">
        <v>317</v>
      </c>
      <c r="E30" s="20">
        <v>736</v>
      </c>
      <c r="F30" s="20">
        <v>11997</v>
      </c>
      <c r="I30" t="s">
        <v>19</v>
      </c>
      <c r="J30" t="s">
        <v>416</v>
      </c>
      <c r="K30" s="20">
        <v>6</v>
      </c>
      <c r="L30" s="20">
        <v>445.79999999999995</v>
      </c>
      <c r="O30" t="str">
        <f t="shared" si="3"/>
        <v>California</v>
      </c>
      <c r="P30" t="str">
        <f t="shared" si="4"/>
        <v>Mariposa County</v>
      </c>
      <c r="Q30">
        <f t="shared" si="5"/>
        <v>6</v>
      </c>
      <c r="T30" t="str">
        <f t="shared" si="6"/>
        <v>California</v>
      </c>
      <c r="U30" t="str">
        <f t="shared" si="7"/>
        <v>Mariposa County</v>
      </c>
      <c r="V30">
        <f t="shared" si="8"/>
        <v>445.79999999999995</v>
      </c>
    </row>
    <row r="31" spans="1:22" x14ac:dyDescent="0.3">
      <c r="I31" t="s">
        <v>19</v>
      </c>
      <c r="J31" t="s">
        <v>258</v>
      </c>
      <c r="K31" s="20">
        <v>9</v>
      </c>
      <c r="L31" s="20">
        <v>273.59999999999997</v>
      </c>
      <c r="O31" t="str">
        <f t="shared" si="3"/>
        <v>California</v>
      </c>
      <c r="P31" t="str">
        <f t="shared" si="4"/>
        <v>Mendocino County</v>
      </c>
      <c r="Q31">
        <f t="shared" si="5"/>
        <v>9</v>
      </c>
      <c r="T31" t="str">
        <f t="shared" si="6"/>
        <v>California</v>
      </c>
      <c r="U31" t="str">
        <f t="shared" si="7"/>
        <v>Mendocino County</v>
      </c>
      <c r="V31">
        <f t="shared" si="8"/>
        <v>273.59999999999997</v>
      </c>
    </row>
    <row r="32" spans="1:22" x14ac:dyDescent="0.3">
      <c r="I32" t="s">
        <v>19</v>
      </c>
      <c r="J32" t="s">
        <v>186</v>
      </c>
      <c r="K32" s="20">
        <v>60</v>
      </c>
      <c r="L32" s="20">
        <v>2690.4</v>
      </c>
      <c r="O32" t="str">
        <f t="shared" si="3"/>
        <v>California</v>
      </c>
      <c r="P32" t="str">
        <f t="shared" si="4"/>
        <v>Merced County</v>
      </c>
      <c r="Q32">
        <f t="shared" si="5"/>
        <v>60</v>
      </c>
      <c r="T32" t="str">
        <f t="shared" si="6"/>
        <v>California</v>
      </c>
      <c r="U32" t="str">
        <f t="shared" si="7"/>
        <v>Merced County</v>
      </c>
      <c r="V32">
        <f t="shared" si="8"/>
        <v>2690.4</v>
      </c>
    </row>
    <row r="33" spans="1:22" x14ac:dyDescent="0.3">
      <c r="I33" t="s">
        <v>19</v>
      </c>
      <c r="J33" t="s">
        <v>392</v>
      </c>
      <c r="K33" s="20">
        <v>2</v>
      </c>
      <c r="L33" s="20">
        <v>28.4</v>
      </c>
      <c r="O33" t="str">
        <f t="shared" si="3"/>
        <v>California</v>
      </c>
      <c r="P33" t="str">
        <f t="shared" si="4"/>
        <v>Modoc County</v>
      </c>
      <c r="Q33">
        <f t="shared" si="5"/>
        <v>2</v>
      </c>
      <c r="T33" t="str">
        <f t="shared" si="6"/>
        <v>California</v>
      </c>
      <c r="U33" t="str">
        <f t="shared" si="7"/>
        <v>Modoc County</v>
      </c>
      <c r="V33">
        <f t="shared" si="8"/>
        <v>28.4</v>
      </c>
    </row>
    <row r="34" spans="1:22" x14ac:dyDescent="0.3">
      <c r="I34" t="s">
        <v>19</v>
      </c>
      <c r="J34" t="s">
        <v>670</v>
      </c>
      <c r="K34" s="20">
        <v>4</v>
      </c>
      <c r="L34" s="20">
        <v>204.8</v>
      </c>
      <c r="O34" t="str">
        <f t="shared" si="3"/>
        <v>California</v>
      </c>
      <c r="P34" t="str">
        <f t="shared" si="4"/>
        <v>Mono County</v>
      </c>
      <c r="Q34">
        <f t="shared" si="5"/>
        <v>4</v>
      </c>
      <c r="T34" t="str">
        <f t="shared" si="6"/>
        <v>California</v>
      </c>
      <c r="U34" t="str">
        <f t="shared" si="7"/>
        <v>Mono County</v>
      </c>
      <c r="V34">
        <f t="shared" si="8"/>
        <v>204.8</v>
      </c>
    </row>
    <row r="35" spans="1:22" x14ac:dyDescent="0.3">
      <c r="I35" t="s">
        <v>19</v>
      </c>
      <c r="J35" t="s">
        <v>802</v>
      </c>
      <c r="K35" s="20">
        <v>31</v>
      </c>
      <c r="L35" s="20">
        <v>1607.8999999999999</v>
      </c>
      <c r="O35" t="str">
        <f t="shared" si="3"/>
        <v>California</v>
      </c>
      <c r="P35" t="str">
        <f t="shared" si="4"/>
        <v>Monterey County</v>
      </c>
      <c r="Q35">
        <f t="shared" si="5"/>
        <v>31</v>
      </c>
      <c r="T35" t="str">
        <f t="shared" si="6"/>
        <v>California</v>
      </c>
      <c r="U35" t="str">
        <f t="shared" si="7"/>
        <v>Monterey County</v>
      </c>
      <c r="V35">
        <f t="shared" si="8"/>
        <v>1607.8999999999999</v>
      </c>
    </row>
    <row r="36" spans="1:22" x14ac:dyDescent="0.3">
      <c r="I36" t="s">
        <v>19</v>
      </c>
      <c r="J36" t="s">
        <v>98</v>
      </c>
      <c r="K36" s="20">
        <v>88</v>
      </c>
      <c r="L36" s="20">
        <v>6444.9</v>
      </c>
      <c r="O36" t="str">
        <f t="shared" si="3"/>
        <v>California</v>
      </c>
      <c r="P36" t="str">
        <f t="shared" si="4"/>
        <v>Napa County</v>
      </c>
      <c r="Q36">
        <f t="shared" si="5"/>
        <v>88</v>
      </c>
      <c r="T36" t="str">
        <f t="shared" si="6"/>
        <v>California</v>
      </c>
      <c r="U36" t="str">
        <f t="shared" si="7"/>
        <v>Napa County</v>
      </c>
      <c r="V36">
        <f t="shared" si="8"/>
        <v>6444.9</v>
      </c>
    </row>
    <row r="37" spans="1:22" x14ac:dyDescent="0.3">
      <c r="I37" t="s">
        <v>19</v>
      </c>
      <c r="J37" t="s">
        <v>49</v>
      </c>
      <c r="K37" s="20">
        <v>25</v>
      </c>
      <c r="L37" s="20">
        <v>1809.3</v>
      </c>
      <c r="O37" t="str">
        <f t="shared" si="3"/>
        <v>California</v>
      </c>
      <c r="P37" t="str">
        <f t="shared" si="4"/>
        <v>Nevada County</v>
      </c>
      <c r="Q37">
        <f t="shared" si="5"/>
        <v>25</v>
      </c>
      <c r="T37" t="str">
        <f t="shared" si="6"/>
        <v>California</v>
      </c>
      <c r="U37" t="str">
        <f t="shared" si="7"/>
        <v>Nevada County</v>
      </c>
      <c r="V37">
        <f t="shared" si="8"/>
        <v>1809.3</v>
      </c>
    </row>
    <row r="38" spans="1:22" x14ac:dyDescent="0.3">
      <c r="I38" t="s">
        <v>19</v>
      </c>
      <c r="J38" t="s">
        <v>188</v>
      </c>
      <c r="K38" s="20">
        <v>178</v>
      </c>
      <c r="L38" s="20">
        <v>9680.399999999996</v>
      </c>
      <c r="O38" t="str">
        <f t="shared" si="3"/>
        <v>California</v>
      </c>
      <c r="P38" t="str">
        <f t="shared" si="4"/>
        <v>Orange County</v>
      </c>
      <c r="Q38">
        <f t="shared" si="5"/>
        <v>178</v>
      </c>
      <c r="T38" t="str">
        <f t="shared" si="6"/>
        <v>California</v>
      </c>
      <c r="U38" t="str">
        <f t="shared" si="7"/>
        <v>Orange County</v>
      </c>
      <c r="V38">
        <f t="shared" si="8"/>
        <v>9680.399999999996</v>
      </c>
    </row>
    <row r="39" spans="1:22" x14ac:dyDescent="0.3">
      <c r="I39" t="s">
        <v>19</v>
      </c>
      <c r="J39" t="s">
        <v>52</v>
      </c>
      <c r="K39" s="20">
        <v>141</v>
      </c>
      <c r="L39" s="20">
        <v>9414.7999999999993</v>
      </c>
      <c r="O39" t="str">
        <f t="shared" si="3"/>
        <v>California</v>
      </c>
      <c r="P39" t="str">
        <f t="shared" si="4"/>
        <v>Placer County</v>
      </c>
      <c r="Q39">
        <f t="shared" si="5"/>
        <v>141</v>
      </c>
      <c r="T39" t="str">
        <f t="shared" si="6"/>
        <v>California</v>
      </c>
      <c r="U39" t="str">
        <f t="shared" si="7"/>
        <v>Placer County</v>
      </c>
      <c r="V39">
        <f t="shared" si="8"/>
        <v>9414.7999999999993</v>
      </c>
    </row>
    <row r="40" spans="1:22" x14ac:dyDescent="0.3">
      <c r="I40" t="s">
        <v>19</v>
      </c>
      <c r="J40" t="s">
        <v>338</v>
      </c>
      <c r="K40" s="20">
        <v>6</v>
      </c>
      <c r="L40" s="20">
        <v>206.1</v>
      </c>
      <c r="O40" t="str">
        <f t="shared" si="3"/>
        <v>California</v>
      </c>
      <c r="P40" t="str">
        <f t="shared" si="4"/>
        <v>Plumas County</v>
      </c>
      <c r="Q40">
        <f t="shared" si="5"/>
        <v>6</v>
      </c>
      <c r="T40" t="str">
        <f t="shared" si="6"/>
        <v>California</v>
      </c>
      <c r="U40" t="str">
        <f t="shared" si="7"/>
        <v>Plumas County</v>
      </c>
      <c r="V40">
        <f t="shared" si="8"/>
        <v>206.1</v>
      </c>
    </row>
    <row r="41" spans="1:22" x14ac:dyDescent="0.3">
      <c r="A41" s="7" t="s">
        <v>2528</v>
      </c>
      <c r="B41" t="s">
        <v>2520</v>
      </c>
      <c r="C41" t="s">
        <v>2519</v>
      </c>
      <c r="I41" t="s">
        <v>19</v>
      </c>
      <c r="J41" t="s">
        <v>158</v>
      </c>
      <c r="K41" s="20">
        <v>178</v>
      </c>
      <c r="L41" s="20">
        <v>7691.3</v>
      </c>
      <c r="O41" t="str">
        <f t="shared" si="3"/>
        <v>California</v>
      </c>
      <c r="P41" t="str">
        <f t="shared" si="4"/>
        <v>Riverside County</v>
      </c>
      <c r="Q41">
        <f t="shared" si="5"/>
        <v>178</v>
      </c>
      <c r="T41" t="str">
        <f t="shared" si="6"/>
        <v>California</v>
      </c>
      <c r="U41" t="str">
        <f t="shared" si="7"/>
        <v>Riverside County</v>
      </c>
      <c r="V41">
        <f t="shared" si="8"/>
        <v>7691.3</v>
      </c>
    </row>
    <row r="42" spans="1:22" x14ac:dyDescent="0.3">
      <c r="A42" s="8">
        <v>1</v>
      </c>
      <c r="B42" s="19">
        <v>32413.300000000003</v>
      </c>
      <c r="C42" s="20">
        <v>546</v>
      </c>
      <c r="I42" t="s">
        <v>19</v>
      </c>
      <c r="J42" t="s">
        <v>55</v>
      </c>
      <c r="K42" s="20">
        <v>699</v>
      </c>
      <c r="L42" s="20">
        <v>37784.900000000016</v>
      </c>
      <c r="O42" t="str">
        <f t="shared" si="3"/>
        <v>California</v>
      </c>
      <c r="P42" t="str">
        <f t="shared" si="4"/>
        <v>Sacramento County</v>
      </c>
      <c r="Q42">
        <f t="shared" si="5"/>
        <v>699</v>
      </c>
      <c r="T42" t="str">
        <f t="shared" si="6"/>
        <v>California</v>
      </c>
      <c r="U42" t="str">
        <f t="shared" si="7"/>
        <v>Sacramento County</v>
      </c>
      <c r="V42">
        <f t="shared" si="8"/>
        <v>37784.900000000016</v>
      </c>
    </row>
    <row r="43" spans="1:22" x14ac:dyDescent="0.3">
      <c r="A43" s="8">
        <v>2</v>
      </c>
      <c r="B43" s="19">
        <v>49562.999999999993</v>
      </c>
      <c r="C43" s="20">
        <v>905</v>
      </c>
      <c r="I43" t="s">
        <v>19</v>
      </c>
      <c r="J43" t="s">
        <v>342</v>
      </c>
      <c r="K43" s="20">
        <v>23</v>
      </c>
      <c r="L43" s="20">
        <v>1129.7</v>
      </c>
      <c r="O43" t="str">
        <f t="shared" si="3"/>
        <v>California</v>
      </c>
      <c r="P43" t="str">
        <f t="shared" si="4"/>
        <v>San Benito County</v>
      </c>
      <c r="Q43">
        <f t="shared" si="5"/>
        <v>23</v>
      </c>
      <c r="T43" t="str">
        <f t="shared" si="6"/>
        <v>California</v>
      </c>
      <c r="U43" t="str">
        <f t="shared" si="7"/>
        <v>San Benito County</v>
      </c>
      <c r="V43">
        <f t="shared" si="8"/>
        <v>1129.7</v>
      </c>
    </row>
    <row r="44" spans="1:22" x14ac:dyDescent="0.3">
      <c r="A44" s="8">
        <v>3</v>
      </c>
      <c r="B44" s="19">
        <v>41700.400000000016</v>
      </c>
      <c r="C44" s="20">
        <v>796</v>
      </c>
      <c r="I44" t="s">
        <v>19</v>
      </c>
      <c r="J44" t="s">
        <v>59</v>
      </c>
      <c r="K44" s="20">
        <v>356</v>
      </c>
      <c r="L44" s="20">
        <v>20988.9</v>
      </c>
      <c r="O44" t="str">
        <f t="shared" si="3"/>
        <v>California</v>
      </c>
      <c r="P44" t="str">
        <f t="shared" si="4"/>
        <v>San Bernardino County</v>
      </c>
      <c r="Q44">
        <f t="shared" si="5"/>
        <v>356</v>
      </c>
      <c r="T44" t="str">
        <f t="shared" si="6"/>
        <v>California</v>
      </c>
      <c r="U44" t="str">
        <f t="shared" si="7"/>
        <v>San Bernardino County</v>
      </c>
      <c r="V44">
        <f t="shared" si="8"/>
        <v>20988.9</v>
      </c>
    </row>
    <row r="45" spans="1:22" x14ac:dyDescent="0.3">
      <c r="A45" s="8">
        <v>4</v>
      </c>
      <c r="B45" s="19">
        <v>46782.599999999984</v>
      </c>
      <c r="C45" s="20">
        <v>913</v>
      </c>
      <c r="I45" t="s">
        <v>19</v>
      </c>
      <c r="J45" t="s">
        <v>62</v>
      </c>
      <c r="K45" s="20">
        <v>1768</v>
      </c>
      <c r="L45" s="20">
        <v>98367.099999999977</v>
      </c>
      <c r="O45" t="str">
        <f t="shared" si="3"/>
        <v>California</v>
      </c>
      <c r="P45" t="str">
        <f t="shared" si="4"/>
        <v>San Diego County</v>
      </c>
      <c r="Q45">
        <f t="shared" si="5"/>
        <v>1768</v>
      </c>
      <c r="T45" t="str">
        <f t="shared" si="6"/>
        <v>California</v>
      </c>
      <c r="U45" t="str">
        <f t="shared" si="7"/>
        <v>San Diego County</v>
      </c>
      <c r="V45">
        <f t="shared" si="8"/>
        <v>98367.099999999977</v>
      </c>
    </row>
    <row r="46" spans="1:22" x14ac:dyDescent="0.3">
      <c r="A46" s="8">
        <v>5</v>
      </c>
      <c r="B46" s="19">
        <v>42676.100000000006</v>
      </c>
      <c r="C46" s="20">
        <v>844</v>
      </c>
      <c r="I46" t="s">
        <v>19</v>
      </c>
      <c r="J46" t="s">
        <v>103</v>
      </c>
      <c r="K46" s="20">
        <v>307</v>
      </c>
      <c r="L46" s="20">
        <v>21911.9</v>
      </c>
      <c r="O46" t="str">
        <f t="shared" si="3"/>
        <v>California</v>
      </c>
      <c r="P46" t="str">
        <f t="shared" si="4"/>
        <v>San Francisco</v>
      </c>
      <c r="Q46">
        <f t="shared" si="5"/>
        <v>307</v>
      </c>
      <c r="T46" t="str">
        <f t="shared" si="6"/>
        <v>California</v>
      </c>
      <c r="U46" t="str">
        <f t="shared" si="7"/>
        <v>San Francisco</v>
      </c>
      <c r="V46">
        <f t="shared" si="8"/>
        <v>21911.9</v>
      </c>
    </row>
    <row r="47" spans="1:22" x14ac:dyDescent="0.3">
      <c r="A47" s="8">
        <v>6</v>
      </c>
      <c r="B47" s="19">
        <v>62910.7</v>
      </c>
      <c r="C47" s="20">
        <v>1202</v>
      </c>
      <c r="I47" t="s">
        <v>19</v>
      </c>
      <c r="J47" t="s">
        <v>201</v>
      </c>
      <c r="K47" s="20">
        <v>117</v>
      </c>
      <c r="L47" s="20">
        <v>5441.2</v>
      </c>
      <c r="O47" t="str">
        <f t="shared" si="3"/>
        <v>California</v>
      </c>
      <c r="P47" t="str">
        <f t="shared" si="4"/>
        <v>San Joaquin County</v>
      </c>
      <c r="Q47">
        <f t="shared" si="5"/>
        <v>117</v>
      </c>
      <c r="T47" t="str">
        <f t="shared" si="6"/>
        <v>California</v>
      </c>
      <c r="U47" t="str">
        <f t="shared" si="7"/>
        <v>San Joaquin County</v>
      </c>
      <c r="V47">
        <f t="shared" si="8"/>
        <v>5441.2</v>
      </c>
    </row>
    <row r="48" spans="1:22" x14ac:dyDescent="0.3">
      <c r="A48" s="8">
        <v>7</v>
      </c>
      <c r="B48" s="19">
        <v>50332.200000000004</v>
      </c>
      <c r="C48" s="20">
        <v>935</v>
      </c>
      <c r="I48" t="s">
        <v>19</v>
      </c>
      <c r="J48" t="s">
        <v>429</v>
      </c>
      <c r="K48" s="20">
        <v>13</v>
      </c>
      <c r="L48" s="20">
        <v>392.8</v>
      </c>
      <c r="O48" t="str">
        <f t="shared" si="3"/>
        <v>California</v>
      </c>
      <c r="P48" t="str">
        <f t="shared" si="4"/>
        <v>San Luis Obispo County</v>
      </c>
      <c r="Q48">
        <f t="shared" si="5"/>
        <v>13</v>
      </c>
      <c r="T48" t="str">
        <f t="shared" si="6"/>
        <v>California</v>
      </c>
      <c r="U48" t="str">
        <f t="shared" si="7"/>
        <v>San Luis Obispo County</v>
      </c>
      <c r="V48">
        <f t="shared" si="8"/>
        <v>392.8</v>
      </c>
    </row>
    <row r="49" spans="1:22" x14ac:dyDescent="0.3">
      <c r="A49" s="8">
        <v>8</v>
      </c>
      <c r="B49" s="19">
        <v>58760.599999999977</v>
      </c>
      <c r="C49" s="20">
        <v>1128</v>
      </c>
      <c r="I49" t="s">
        <v>19</v>
      </c>
      <c r="J49" t="s">
        <v>72</v>
      </c>
      <c r="K49" s="20">
        <v>364</v>
      </c>
      <c r="L49" s="20">
        <v>16172.000000000005</v>
      </c>
      <c r="O49" t="str">
        <f t="shared" si="3"/>
        <v>California</v>
      </c>
      <c r="P49" t="str">
        <f t="shared" si="4"/>
        <v>San Mateo County</v>
      </c>
      <c r="Q49">
        <f t="shared" si="5"/>
        <v>364</v>
      </c>
      <c r="T49" t="str">
        <f t="shared" si="6"/>
        <v>California</v>
      </c>
      <c r="U49" t="str">
        <f t="shared" si="7"/>
        <v>San Mateo County</v>
      </c>
      <c r="V49">
        <f t="shared" si="8"/>
        <v>16172.000000000005</v>
      </c>
    </row>
    <row r="50" spans="1:22" x14ac:dyDescent="0.3">
      <c r="A50" s="8">
        <v>9</v>
      </c>
      <c r="B50" s="19">
        <v>52017.299999999996</v>
      </c>
      <c r="C50" s="20">
        <v>1007</v>
      </c>
      <c r="I50" t="s">
        <v>19</v>
      </c>
      <c r="J50" t="s">
        <v>74</v>
      </c>
      <c r="K50" s="20">
        <v>95</v>
      </c>
      <c r="L50" s="20">
        <v>4334.9999999999991</v>
      </c>
      <c r="O50" t="str">
        <f t="shared" si="3"/>
        <v>California</v>
      </c>
      <c r="P50" t="str">
        <f t="shared" si="4"/>
        <v>Santa Barbara County</v>
      </c>
      <c r="Q50">
        <f t="shared" si="5"/>
        <v>95</v>
      </c>
      <c r="T50" t="str">
        <f t="shared" si="6"/>
        <v>California</v>
      </c>
      <c r="U50" t="str">
        <f t="shared" si="7"/>
        <v>Santa Barbara County</v>
      </c>
      <c r="V50">
        <f t="shared" si="8"/>
        <v>4334.9999999999991</v>
      </c>
    </row>
    <row r="51" spans="1:22" x14ac:dyDescent="0.3">
      <c r="A51" s="8">
        <v>10</v>
      </c>
      <c r="B51" s="19">
        <v>64915.700000000033</v>
      </c>
      <c r="C51" s="20">
        <v>1128</v>
      </c>
      <c r="I51" t="s">
        <v>19</v>
      </c>
      <c r="J51" t="s">
        <v>77</v>
      </c>
      <c r="K51" s="20">
        <v>737</v>
      </c>
      <c r="L51" s="20">
        <v>37449.000000000007</v>
      </c>
      <c r="O51" t="str">
        <f t="shared" si="3"/>
        <v>California</v>
      </c>
      <c r="P51" t="str">
        <f t="shared" si="4"/>
        <v>Santa Clara County</v>
      </c>
      <c r="Q51">
        <f t="shared" si="5"/>
        <v>737</v>
      </c>
      <c r="T51" t="str">
        <f t="shared" si="6"/>
        <v>California</v>
      </c>
      <c r="U51" t="str">
        <f t="shared" si="7"/>
        <v>Santa Clara County</v>
      </c>
      <c r="V51">
        <f t="shared" si="8"/>
        <v>37449.000000000007</v>
      </c>
    </row>
    <row r="52" spans="1:22" x14ac:dyDescent="0.3">
      <c r="A52" s="8">
        <v>11</v>
      </c>
      <c r="B52" s="19">
        <v>45943.80000000001</v>
      </c>
      <c r="C52" s="20">
        <v>861</v>
      </c>
      <c r="I52" t="s">
        <v>19</v>
      </c>
      <c r="J52" t="s">
        <v>309</v>
      </c>
      <c r="K52" s="20">
        <v>39</v>
      </c>
      <c r="L52" s="20">
        <v>2447.5</v>
      </c>
      <c r="O52" t="str">
        <f t="shared" si="3"/>
        <v>California</v>
      </c>
      <c r="P52" t="str">
        <f t="shared" si="4"/>
        <v>Santa Cruz County</v>
      </c>
      <c r="Q52">
        <f t="shared" si="5"/>
        <v>39</v>
      </c>
      <c r="T52" t="str">
        <f t="shared" si="6"/>
        <v>California</v>
      </c>
      <c r="U52" t="str">
        <f t="shared" si="7"/>
        <v>Santa Cruz County</v>
      </c>
      <c r="V52">
        <f t="shared" si="8"/>
        <v>2447.5</v>
      </c>
    </row>
    <row r="53" spans="1:22" x14ac:dyDescent="0.3">
      <c r="A53" s="8">
        <v>12</v>
      </c>
      <c r="B53" s="19">
        <v>55077.900000000031</v>
      </c>
      <c r="C53" s="20">
        <v>944</v>
      </c>
      <c r="I53" t="s">
        <v>19</v>
      </c>
      <c r="J53" t="s">
        <v>1116</v>
      </c>
      <c r="K53" s="20">
        <v>56</v>
      </c>
      <c r="L53" s="20">
        <v>3391.1</v>
      </c>
      <c r="O53" t="str">
        <f t="shared" si="3"/>
        <v>California</v>
      </c>
      <c r="P53" t="str">
        <f t="shared" si="4"/>
        <v>Shasta County</v>
      </c>
      <c r="Q53">
        <f t="shared" si="5"/>
        <v>56</v>
      </c>
      <c r="T53" t="str">
        <f t="shared" si="6"/>
        <v>California</v>
      </c>
      <c r="U53" t="str">
        <f t="shared" si="7"/>
        <v>Shasta County</v>
      </c>
      <c r="V53">
        <f t="shared" si="8"/>
        <v>3391.1</v>
      </c>
    </row>
    <row r="54" spans="1:22" x14ac:dyDescent="0.3">
      <c r="A54" s="8">
        <v>13</v>
      </c>
      <c r="B54" s="19">
        <v>45926.19999999999</v>
      </c>
      <c r="C54" s="20">
        <v>788</v>
      </c>
      <c r="I54" t="s">
        <v>19</v>
      </c>
      <c r="J54" t="s">
        <v>700</v>
      </c>
      <c r="K54" s="20">
        <v>2</v>
      </c>
      <c r="L54" s="20">
        <v>30.8</v>
      </c>
      <c r="O54" t="str">
        <f t="shared" si="3"/>
        <v>California</v>
      </c>
      <c r="P54" t="str">
        <f t="shared" si="4"/>
        <v>Sierra County</v>
      </c>
      <c r="Q54">
        <f t="shared" si="5"/>
        <v>2</v>
      </c>
      <c r="T54" t="str">
        <f t="shared" si="6"/>
        <v>California</v>
      </c>
      <c r="U54" t="str">
        <f t="shared" si="7"/>
        <v>Sierra County</v>
      </c>
      <c r="V54">
        <f t="shared" si="8"/>
        <v>30.8</v>
      </c>
    </row>
    <row r="55" spans="1:22" x14ac:dyDescent="0.3">
      <c r="A55" s="8" t="s">
        <v>2529</v>
      </c>
      <c r="B55" s="19">
        <v>649019.79999999993</v>
      </c>
      <c r="C55" s="20">
        <v>11997</v>
      </c>
      <c r="I55" t="s">
        <v>19</v>
      </c>
      <c r="J55" t="s">
        <v>268</v>
      </c>
      <c r="K55" s="20">
        <v>8</v>
      </c>
      <c r="L55" s="20">
        <v>332.3</v>
      </c>
      <c r="O55" t="str">
        <f t="shared" si="3"/>
        <v>California</v>
      </c>
      <c r="P55" t="str">
        <f t="shared" si="4"/>
        <v>Siskiyou County</v>
      </c>
      <c r="Q55">
        <f t="shared" si="5"/>
        <v>8</v>
      </c>
      <c r="T55" t="str">
        <f t="shared" si="6"/>
        <v>California</v>
      </c>
      <c r="U55" t="str">
        <f t="shared" si="7"/>
        <v>Siskiyou County</v>
      </c>
      <c r="V55">
        <f t="shared" si="8"/>
        <v>332.3</v>
      </c>
    </row>
    <row r="56" spans="1:22" x14ac:dyDescent="0.3">
      <c r="I56" t="s">
        <v>19</v>
      </c>
      <c r="J56" t="s">
        <v>377</v>
      </c>
      <c r="K56" s="20">
        <v>52</v>
      </c>
      <c r="L56" s="20">
        <v>3175.9999999999995</v>
      </c>
      <c r="O56" t="str">
        <f t="shared" si="3"/>
        <v>California</v>
      </c>
      <c r="P56" t="str">
        <f t="shared" si="4"/>
        <v>Solano County</v>
      </c>
      <c r="Q56">
        <f t="shared" si="5"/>
        <v>52</v>
      </c>
      <c r="T56" t="str">
        <f t="shared" si="6"/>
        <v>California</v>
      </c>
      <c r="U56" t="str">
        <f t="shared" si="7"/>
        <v>Solano County</v>
      </c>
      <c r="V56">
        <f t="shared" si="8"/>
        <v>3175.9999999999995</v>
      </c>
    </row>
    <row r="57" spans="1:22" x14ac:dyDescent="0.3">
      <c r="I57" t="s">
        <v>19</v>
      </c>
      <c r="J57" t="s">
        <v>108</v>
      </c>
      <c r="K57" s="20">
        <v>295</v>
      </c>
      <c r="L57" s="20">
        <v>20939.600000000002</v>
      </c>
      <c r="O57" t="str">
        <f t="shared" si="3"/>
        <v>California</v>
      </c>
      <c r="P57" t="str">
        <f t="shared" si="4"/>
        <v>Sonoma County</v>
      </c>
      <c r="Q57">
        <f t="shared" si="5"/>
        <v>295</v>
      </c>
      <c r="T57" t="str">
        <f t="shared" si="6"/>
        <v>California</v>
      </c>
      <c r="U57" t="str">
        <f t="shared" si="7"/>
        <v>Sonoma County</v>
      </c>
      <c r="V57">
        <f t="shared" si="8"/>
        <v>20939.600000000002</v>
      </c>
    </row>
    <row r="58" spans="1:22" x14ac:dyDescent="0.3">
      <c r="I58" t="s">
        <v>19</v>
      </c>
      <c r="J58" t="s">
        <v>110</v>
      </c>
      <c r="K58" s="20">
        <v>195</v>
      </c>
      <c r="L58" s="20">
        <v>10185.899999999996</v>
      </c>
      <c r="O58" t="str">
        <f t="shared" si="3"/>
        <v>California</v>
      </c>
      <c r="P58" t="str">
        <f t="shared" si="4"/>
        <v>Stanislaus County</v>
      </c>
      <c r="Q58">
        <f t="shared" si="5"/>
        <v>195</v>
      </c>
      <c r="T58" t="str">
        <f t="shared" si="6"/>
        <v>California</v>
      </c>
      <c r="U58" t="str">
        <f t="shared" si="7"/>
        <v>Stanislaus County</v>
      </c>
      <c r="V58">
        <f t="shared" si="8"/>
        <v>10185.899999999996</v>
      </c>
    </row>
    <row r="59" spans="1:22" x14ac:dyDescent="0.3">
      <c r="I59" t="s">
        <v>19</v>
      </c>
      <c r="J59" t="s">
        <v>292</v>
      </c>
      <c r="K59" s="20">
        <v>20</v>
      </c>
      <c r="L59" s="20">
        <v>958.7</v>
      </c>
      <c r="O59" t="str">
        <f t="shared" si="3"/>
        <v>California</v>
      </c>
      <c r="P59" t="str">
        <f t="shared" si="4"/>
        <v>Sutter County</v>
      </c>
      <c r="Q59">
        <f t="shared" si="5"/>
        <v>20</v>
      </c>
      <c r="T59" t="str">
        <f t="shared" si="6"/>
        <v>California</v>
      </c>
      <c r="U59" t="str">
        <f t="shared" si="7"/>
        <v>Sutter County</v>
      </c>
      <c r="V59">
        <f t="shared" si="8"/>
        <v>958.7</v>
      </c>
    </row>
    <row r="60" spans="1:22" x14ac:dyDescent="0.3">
      <c r="I60" t="s">
        <v>19</v>
      </c>
      <c r="J60" t="s">
        <v>79</v>
      </c>
      <c r="K60" s="20">
        <v>6</v>
      </c>
      <c r="L60" s="20">
        <v>323</v>
      </c>
      <c r="O60" t="str">
        <f t="shared" si="3"/>
        <v>California</v>
      </c>
      <c r="P60" t="str">
        <f t="shared" si="4"/>
        <v>Tehama County</v>
      </c>
      <c r="Q60">
        <f t="shared" si="5"/>
        <v>6</v>
      </c>
      <c r="T60" t="str">
        <f t="shared" si="6"/>
        <v>California</v>
      </c>
      <c r="U60" t="str">
        <f t="shared" si="7"/>
        <v>Tehama County</v>
      </c>
      <c r="V60">
        <f t="shared" si="8"/>
        <v>323</v>
      </c>
    </row>
    <row r="61" spans="1:22" x14ac:dyDescent="0.3">
      <c r="I61" t="s">
        <v>19</v>
      </c>
      <c r="J61" t="s">
        <v>608</v>
      </c>
      <c r="K61" s="20">
        <v>5</v>
      </c>
      <c r="L61" s="20">
        <v>167.70000000000002</v>
      </c>
      <c r="O61" t="str">
        <f t="shared" si="3"/>
        <v>California</v>
      </c>
      <c r="P61" t="str">
        <f t="shared" si="4"/>
        <v>Trinity County</v>
      </c>
      <c r="Q61">
        <f t="shared" si="5"/>
        <v>5</v>
      </c>
      <c r="T61" t="str">
        <f t="shared" si="6"/>
        <v>California</v>
      </c>
      <c r="U61" t="str">
        <f t="shared" si="7"/>
        <v>Trinity County</v>
      </c>
      <c r="V61">
        <f t="shared" si="8"/>
        <v>167.70000000000002</v>
      </c>
    </row>
    <row r="62" spans="1:22" x14ac:dyDescent="0.3">
      <c r="I62" t="s">
        <v>19</v>
      </c>
      <c r="J62" t="s">
        <v>113</v>
      </c>
      <c r="K62" s="20">
        <v>94</v>
      </c>
      <c r="L62" s="20">
        <v>3978.5</v>
      </c>
      <c r="O62" t="str">
        <f t="shared" si="3"/>
        <v>California</v>
      </c>
      <c r="P62" t="str">
        <f t="shared" si="4"/>
        <v>Tulare County</v>
      </c>
      <c r="Q62">
        <f t="shared" si="5"/>
        <v>94</v>
      </c>
      <c r="T62" t="str">
        <f t="shared" si="6"/>
        <v>California</v>
      </c>
      <c r="U62" t="str">
        <f t="shared" si="7"/>
        <v>Tulare County</v>
      </c>
      <c r="V62">
        <f t="shared" si="8"/>
        <v>3978.5</v>
      </c>
    </row>
    <row r="63" spans="1:22" x14ac:dyDescent="0.3">
      <c r="I63" t="s">
        <v>19</v>
      </c>
      <c r="J63" t="s">
        <v>997</v>
      </c>
      <c r="K63" s="20">
        <v>28</v>
      </c>
      <c r="L63" s="20">
        <v>1405</v>
      </c>
      <c r="O63" t="str">
        <f t="shared" si="3"/>
        <v>California</v>
      </c>
      <c r="P63" t="str">
        <f t="shared" si="4"/>
        <v>Tuolumne County</v>
      </c>
      <c r="Q63">
        <f t="shared" si="5"/>
        <v>28</v>
      </c>
      <c r="T63" t="str">
        <f t="shared" si="6"/>
        <v>California</v>
      </c>
      <c r="U63" t="str">
        <f t="shared" si="7"/>
        <v>Tuolumne County</v>
      </c>
      <c r="V63">
        <f t="shared" si="8"/>
        <v>1405</v>
      </c>
    </row>
    <row r="64" spans="1:22" x14ac:dyDescent="0.3">
      <c r="I64" t="s">
        <v>19</v>
      </c>
      <c r="J64" t="s">
        <v>82</v>
      </c>
      <c r="K64" s="20">
        <v>179</v>
      </c>
      <c r="L64" s="20">
        <v>9869.0999999999985</v>
      </c>
      <c r="O64" t="str">
        <f t="shared" si="3"/>
        <v>California</v>
      </c>
      <c r="P64" t="str">
        <f t="shared" si="4"/>
        <v>Ventura County</v>
      </c>
      <c r="Q64">
        <f t="shared" si="5"/>
        <v>179</v>
      </c>
      <c r="T64" t="str">
        <f t="shared" si="6"/>
        <v>California</v>
      </c>
      <c r="U64" t="str">
        <f t="shared" si="7"/>
        <v>Ventura County</v>
      </c>
      <c r="V64">
        <f t="shared" si="8"/>
        <v>9869.0999999999985</v>
      </c>
    </row>
    <row r="65" spans="1:22" x14ac:dyDescent="0.3">
      <c r="I65" t="s">
        <v>19</v>
      </c>
      <c r="J65" t="s">
        <v>243</v>
      </c>
      <c r="K65" s="20">
        <v>15</v>
      </c>
      <c r="L65" s="20">
        <v>615.29999999999995</v>
      </c>
      <c r="O65" t="str">
        <f t="shared" si="3"/>
        <v>California</v>
      </c>
      <c r="P65" t="str">
        <f t="shared" si="4"/>
        <v>Yolo County</v>
      </c>
      <c r="Q65">
        <f t="shared" si="5"/>
        <v>15</v>
      </c>
      <c r="T65" t="str">
        <f t="shared" si="6"/>
        <v>California</v>
      </c>
      <c r="U65" t="str">
        <f t="shared" si="7"/>
        <v>Yolo County</v>
      </c>
      <c r="V65">
        <f t="shared" si="8"/>
        <v>615.29999999999995</v>
      </c>
    </row>
    <row r="66" spans="1:22" x14ac:dyDescent="0.3">
      <c r="I66" t="s">
        <v>19</v>
      </c>
      <c r="J66" t="s">
        <v>1911</v>
      </c>
      <c r="K66" s="20">
        <v>3</v>
      </c>
      <c r="L66" s="20">
        <v>285</v>
      </c>
      <c r="O66" t="str">
        <f t="shared" si="3"/>
        <v>California</v>
      </c>
      <c r="P66" t="str">
        <f t="shared" si="4"/>
        <v>Yuba County</v>
      </c>
      <c r="Q66">
        <f t="shared" si="5"/>
        <v>3</v>
      </c>
      <c r="T66" t="str">
        <f t="shared" si="6"/>
        <v>California</v>
      </c>
      <c r="U66" t="str">
        <f t="shared" si="7"/>
        <v>Yuba County</v>
      </c>
      <c r="V66">
        <f t="shared" si="8"/>
        <v>285</v>
      </c>
    </row>
    <row r="76" spans="1:22" x14ac:dyDescent="0.3">
      <c r="A76" s="7" t="s">
        <v>2528</v>
      </c>
      <c r="B76" t="s">
        <v>2518</v>
      </c>
    </row>
    <row r="77" spans="1:22" x14ac:dyDescent="0.3">
      <c r="A77" s="8">
        <v>1</v>
      </c>
      <c r="B77" s="20">
        <v>397</v>
      </c>
    </row>
    <row r="78" spans="1:22" x14ac:dyDescent="0.3">
      <c r="A78" s="8">
        <v>2</v>
      </c>
      <c r="B78" s="20">
        <v>540</v>
      </c>
    </row>
    <row r="79" spans="1:22" x14ac:dyDescent="0.3">
      <c r="A79" s="8">
        <v>3</v>
      </c>
      <c r="B79" s="20">
        <v>375</v>
      </c>
    </row>
    <row r="80" spans="1:22" x14ac:dyDescent="0.3">
      <c r="A80" s="8">
        <v>4</v>
      </c>
      <c r="B80" s="20">
        <v>246</v>
      </c>
    </row>
    <row r="81" spans="1:2" x14ac:dyDescent="0.3">
      <c r="A81" s="8">
        <v>5</v>
      </c>
      <c r="B81" s="20">
        <v>195</v>
      </c>
    </row>
    <row r="82" spans="1:2" x14ac:dyDescent="0.3">
      <c r="A82" s="8" t="s">
        <v>2537</v>
      </c>
      <c r="B82" s="20">
        <v>414</v>
      </c>
    </row>
    <row r="83" spans="1:2" x14ac:dyDescent="0.3">
      <c r="A83" s="8" t="s">
        <v>2536</v>
      </c>
      <c r="B83" s="20">
        <v>233</v>
      </c>
    </row>
    <row r="84" spans="1:2" x14ac:dyDescent="0.3">
      <c r="A84" s="8" t="s">
        <v>2529</v>
      </c>
      <c r="B84" s="20">
        <v>2400</v>
      </c>
    </row>
    <row r="94" spans="1:2" x14ac:dyDescent="0.3">
      <c r="A94" s="7" t="s">
        <v>2528</v>
      </c>
      <c r="B94" t="s">
        <v>2519</v>
      </c>
    </row>
    <row r="95" spans="1:2" x14ac:dyDescent="0.3">
      <c r="A95" s="8" t="s">
        <v>2531</v>
      </c>
      <c r="B95" s="20">
        <v>6272</v>
      </c>
    </row>
    <row r="96" spans="1:2" x14ac:dyDescent="0.3">
      <c r="A96" s="8" t="s">
        <v>2532</v>
      </c>
      <c r="B96" s="20">
        <v>4672</v>
      </c>
    </row>
    <row r="97" spans="1:2" x14ac:dyDescent="0.3">
      <c r="A97" s="8" t="s">
        <v>2533</v>
      </c>
      <c r="B97" s="20">
        <v>317</v>
      </c>
    </row>
    <row r="98" spans="1:2" x14ac:dyDescent="0.3">
      <c r="A98" s="8" t="s">
        <v>2534</v>
      </c>
      <c r="B98" s="20">
        <v>736</v>
      </c>
    </row>
    <row r="99" spans="1:2" x14ac:dyDescent="0.3">
      <c r="A99" s="8" t="s">
        <v>2529</v>
      </c>
      <c r="B99" s="20">
        <v>11997</v>
      </c>
    </row>
    <row r="103" spans="1:2" x14ac:dyDescent="0.3">
      <c r="A103" s="7" t="s">
        <v>2528</v>
      </c>
      <c r="B103" t="s">
        <v>2518</v>
      </c>
    </row>
    <row r="104" spans="1:2" x14ac:dyDescent="0.3">
      <c r="A104" s="8">
        <v>0</v>
      </c>
      <c r="B104" s="20">
        <v>175</v>
      </c>
    </row>
    <row r="105" spans="1:2" x14ac:dyDescent="0.3">
      <c r="A105" s="8">
        <v>1</v>
      </c>
      <c r="B105" s="20">
        <v>888</v>
      </c>
    </row>
    <row r="106" spans="1:2" x14ac:dyDescent="0.3">
      <c r="A106" s="8">
        <v>2</v>
      </c>
      <c r="B106" s="20">
        <v>538</v>
      </c>
    </row>
    <row r="107" spans="1:2" x14ac:dyDescent="0.3">
      <c r="A107" s="8">
        <v>3</v>
      </c>
      <c r="B107" s="20">
        <v>344</v>
      </c>
    </row>
    <row r="108" spans="1:2" x14ac:dyDescent="0.3">
      <c r="A108" s="8">
        <v>4</v>
      </c>
      <c r="B108" s="20">
        <v>200</v>
      </c>
    </row>
    <row r="109" spans="1:2" x14ac:dyDescent="0.3">
      <c r="A109" s="8">
        <v>5</v>
      </c>
      <c r="B109" s="20">
        <v>94</v>
      </c>
    </row>
    <row r="110" spans="1:2" x14ac:dyDescent="0.3">
      <c r="A110" s="8">
        <v>6</v>
      </c>
      <c r="B110" s="20">
        <v>51</v>
      </c>
    </row>
    <row r="111" spans="1:2" x14ac:dyDescent="0.3">
      <c r="A111" s="8">
        <v>7</v>
      </c>
      <c r="B111" s="20">
        <v>32</v>
      </c>
    </row>
    <row r="112" spans="1:2" x14ac:dyDescent="0.3">
      <c r="A112" s="8">
        <v>8</v>
      </c>
      <c r="B112" s="20">
        <v>23</v>
      </c>
    </row>
    <row r="113" spans="1:7" x14ac:dyDescent="0.3">
      <c r="A113" s="8">
        <v>9</v>
      </c>
      <c r="B113" s="20">
        <v>9</v>
      </c>
    </row>
    <row r="114" spans="1:7" x14ac:dyDescent="0.3">
      <c r="A114" s="8">
        <v>10</v>
      </c>
      <c r="B114" s="20">
        <v>8</v>
      </c>
    </row>
    <row r="115" spans="1:7" x14ac:dyDescent="0.3">
      <c r="A115" s="8">
        <v>11</v>
      </c>
      <c r="B115" s="20">
        <v>11</v>
      </c>
    </row>
    <row r="116" spans="1:7" x14ac:dyDescent="0.3">
      <c r="A116" s="8">
        <v>12</v>
      </c>
      <c r="B116" s="20">
        <v>4</v>
      </c>
    </row>
    <row r="117" spans="1:7" x14ac:dyDescent="0.3">
      <c r="A117" s="8">
        <v>13</v>
      </c>
      <c r="B117" s="20">
        <v>10</v>
      </c>
    </row>
    <row r="118" spans="1:7" x14ac:dyDescent="0.3">
      <c r="A118" s="8">
        <v>14</v>
      </c>
      <c r="B118" s="20">
        <v>13</v>
      </c>
    </row>
    <row r="119" spans="1:7" x14ac:dyDescent="0.3">
      <c r="A119" s="8" t="s">
        <v>2529</v>
      </c>
      <c r="B119" s="20">
        <v>2400</v>
      </c>
    </row>
    <row r="124" spans="1:7" x14ac:dyDescent="0.3">
      <c r="A124" t="s">
        <v>2538</v>
      </c>
    </row>
    <row r="127" spans="1:7" x14ac:dyDescent="0.3">
      <c r="A127" s="7" t="s">
        <v>2518</v>
      </c>
      <c r="B127" s="7" t="s">
        <v>2530</v>
      </c>
    </row>
    <row r="128" spans="1:7" x14ac:dyDescent="0.3">
      <c r="A128" s="7" t="s">
        <v>2528</v>
      </c>
      <c r="B128">
        <v>1</v>
      </c>
      <c r="C128">
        <v>2</v>
      </c>
      <c r="D128">
        <v>3</v>
      </c>
      <c r="E128">
        <v>4</v>
      </c>
      <c r="F128">
        <v>5</v>
      </c>
      <c r="G128" t="s">
        <v>2529</v>
      </c>
    </row>
    <row r="129" spans="1:7" x14ac:dyDescent="0.3">
      <c r="A129" s="8" t="s">
        <v>2539</v>
      </c>
      <c r="B129" s="20">
        <v>7</v>
      </c>
      <c r="C129" s="20">
        <v>37</v>
      </c>
      <c r="D129" s="20">
        <v>150</v>
      </c>
      <c r="E129" s="20">
        <v>312</v>
      </c>
      <c r="F129" s="20">
        <v>224</v>
      </c>
      <c r="G129" s="20">
        <v>730</v>
      </c>
    </row>
    <row r="130" spans="1:7" x14ac:dyDescent="0.3">
      <c r="A130" s="8" t="s">
        <v>2540</v>
      </c>
      <c r="B130" s="20">
        <v>8</v>
      </c>
      <c r="C130" s="20">
        <v>51</v>
      </c>
      <c r="D130" s="20">
        <v>182</v>
      </c>
      <c r="E130" s="20">
        <v>373</v>
      </c>
      <c r="F130" s="20">
        <v>247</v>
      </c>
      <c r="G130" s="20">
        <v>861</v>
      </c>
    </row>
    <row r="131" spans="1:7" x14ac:dyDescent="0.3">
      <c r="A131" s="8" t="s">
        <v>2541</v>
      </c>
      <c r="B131" s="20">
        <v>6</v>
      </c>
      <c r="C131" s="20">
        <v>39</v>
      </c>
      <c r="D131" s="20">
        <v>163</v>
      </c>
      <c r="E131" s="20">
        <v>351</v>
      </c>
      <c r="F131" s="20">
        <v>250</v>
      </c>
      <c r="G131" s="20">
        <v>809</v>
      </c>
    </row>
    <row r="132" spans="1:7" x14ac:dyDescent="0.3">
      <c r="A132" s="8" t="s">
        <v>2529</v>
      </c>
      <c r="B132" s="20">
        <v>21</v>
      </c>
      <c r="C132" s="20">
        <v>127</v>
      </c>
      <c r="D132" s="20">
        <v>495</v>
      </c>
      <c r="E132" s="20">
        <v>1036</v>
      </c>
      <c r="F132" s="20">
        <v>721</v>
      </c>
      <c r="G132" s="20">
        <v>2400</v>
      </c>
    </row>
  </sheetData>
  <pageMargins left="0.7" right="0.7" top="0.75" bottom="0.75" header="0.3" footer="0.3"/>
  <pageSetup paperSize="9"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07338-A034-49BC-BBD2-31A6327C6D4E}">
  <sheetPr>
    <tabColor rgb="FF00B050"/>
  </sheetPr>
  <dimension ref="H45"/>
  <sheetViews>
    <sheetView tabSelected="1" zoomScale="47" zoomScaleNormal="47" workbookViewId="0">
      <selection activeCell="AP34" sqref="AP34"/>
    </sheetView>
  </sheetViews>
  <sheetFormatPr defaultRowHeight="14.4" x14ac:dyDescent="0.3"/>
  <cols>
    <col min="1" max="1" width="4.21875" customWidth="1"/>
    <col min="2" max="2" width="19.109375" customWidth="1"/>
    <col min="3" max="3" width="4.88671875" customWidth="1"/>
  </cols>
  <sheetData>
    <row r="45" spans="8:8" x14ac:dyDescent="0.3">
      <c r="H45" s="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21134-2820-4C5D-8D66-6FC3309742E4}">
  <dimension ref="A2:AA10"/>
  <sheetViews>
    <sheetView showGridLines="0" workbookViewId="0">
      <selection activeCell="B8" sqref="B8"/>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0.44140625" bestFit="1" customWidth="1"/>
    <col min="12" max="12" width="8.44140625" bestFit="1" customWidth="1"/>
  </cols>
  <sheetData>
    <row r="2" spans="1:27" x14ac:dyDescent="0.3">
      <c r="H2" t="s">
        <v>2535</v>
      </c>
    </row>
    <row r="3" spans="1:27" x14ac:dyDescent="0.3">
      <c r="A3" s="7" t="s">
        <v>2520</v>
      </c>
      <c r="B3" s="7" t="s">
        <v>2530</v>
      </c>
    </row>
    <row r="4" spans="1:27" x14ac:dyDescent="0.3">
      <c r="A4" s="7" t="s">
        <v>2528</v>
      </c>
      <c r="B4" t="s">
        <v>2531</v>
      </c>
      <c r="C4" t="s">
        <v>2532</v>
      </c>
      <c r="D4" t="s">
        <v>2533</v>
      </c>
      <c r="E4" t="s">
        <v>2534</v>
      </c>
      <c r="F4" t="s">
        <v>2529</v>
      </c>
      <c r="H4" s="11"/>
      <c r="I4" s="12" t="str">
        <f>B4</f>
        <v>Female</v>
      </c>
      <c r="J4" s="12" t="str">
        <f t="shared" ref="J4:L4" si="0">C4</f>
        <v>Male</v>
      </c>
      <c r="K4" s="12" t="str">
        <f t="shared" si="0"/>
        <v>Other</v>
      </c>
      <c r="L4" s="13" t="str">
        <f t="shared" si="0"/>
        <v>Unknown</v>
      </c>
      <c r="X4" s="10">
        <f t="shared" ref="X4:X8" si="1">Q4</f>
        <v>0</v>
      </c>
      <c r="Y4" s="10">
        <f t="shared" ref="Y4:Y8" si="2">R4</f>
        <v>0</v>
      </c>
      <c r="Z4" s="10">
        <f t="shared" ref="Z4:Z8" si="3">S4</f>
        <v>0</v>
      </c>
      <c r="AA4" s="10">
        <f t="shared" ref="AA4:AA8" si="4">T4</f>
        <v>0</v>
      </c>
    </row>
    <row r="5" spans="1:27" x14ac:dyDescent="0.3">
      <c r="A5" s="8" t="s">
        <v>18</v>
      </c>
      <c r="B5" s="9">
        <v>0.18961825201634841</v>
      </c>
      <c r="C5" s="9">
        <v>0.12262322351336576</v>
      </c>
      <c r="D5" s="9">
        <v>1.060537752469185E-2</v>
      </c>
      <c r="E5" s="9">
        <v>3.0599220547662797E-2</v>
      </c>
      <c r="F5" s="9">
        <v>0.35344607360206881</v>
      </c>
      <c r="H5" s="14" t="str">
        <f>A5</f>
        <v>App</v>
      </c>
      <c r="I5" s="10">
        <f t="shared" ref="I5:I9" si="5">B5</f>
        <v>0.18961825201634841</v>
      </c>
      <c r="J5" s="10">
        <f t="shared" ref="J5:L9" si="6">C5</f>
        <v>0.12262322351336576</v>
      </c>
      <c r="K5" s="10">
        <f t="shared" si="6"/>
        <v>1.060537752469185E-2</v>
      </c>
      <c r="L5" s="15">
        <f t="shared" si="6"/>
        <v>3.0599220547662797E-2</v>
      </c>
      <c r="R5">
        <f>K5</f>
        <v>1.060537752469185E-2</v>
      </c>
      <c r="S5">
        <f t="shared" ref="S5:S10" si="7">L5</f>
        <v>3.0599220547662797E-2</v>
      </c>
      <c r="T5">
        <f t="shared" ref="T5:T10" si="8">M5</f>
        <v>0</v>
      </c>
      <c r="U5">
        <f t="shared" ref="U5:U10" si="9">N5</f>
        <v>0</v>
      </c>
      <c r="X5" s="10">
        <f t="shared" si="1"/>
        <v>0</v>
      </c>
      <c r="Y5" s="10">
        <f t="shared" si="2"/>
        <v>1.060537752469185E-2</v>
      </c>
      <c r="Z5" s="10">
        <f t="shared" si="3"/>
        <v>3.0599220547662797E-2</v>
      </c>
      <c r="AA5" s="10">
        <f t="shared" si="4"/>
        <v>0</v>
      </c>
    </row>
    <row r="6" spans="1:27" x14ac:dyDescent="0.3">
      <c r="A6" s="8" t="s">
        <v>51</v>
      </c>
      <c r="B6" s="9">
        <v>5.0283982091147303E-2</v>
      </c>
      <c r="C6" s="9">
        <v>4.3060781812819873E-2</v>
      </c>
      <c r="D6" s="9">
        <v>1.5320025675641944E-3</v>
      </c>
      <c r="E6" s="9">
        <v>1.7794988689097006E-2</v>
      </c>
      <c r="F6" s="9">
        <v>0.11267175516062837</v>
      </c>
      <c r="H6" s="14" t="str">
        <f t="shared" ref="H6:H9" si="10">A6</f>
        <v>Instagram</v>
      </c>
      <c r="I6" s="10">
        <f t="shared" si="5"/>
        <v>5.0283982091147303E-2</v>
      </c>
      <c r="J6" s="10">
        <f t="shared" si="6"/>
        <v>4.3060781812819873E-2</v>
      </c>
      <c r="K6" s="10">
        <f t="shared" si="6"/>
        <v>1.5320025675641944E-3</v>
      </c>
      <c r="L6" s="15">
        <f t="shared" si="6"/>
        <v>1.7794988689097006E-2</v>
      </c>
      <c r="Q6">
        <f>J6</f>
        <v>4.3060781812819873E-2</v>
      </c>
      <c r="R6" s="10">
        <f t="shared" ref="R6:R10" si="11">K6</f>
        <v>1.5320025675641944E-3</v>
      </c>
      <c r="S6" s="10">
        <f t="shared" si="7"/>
        <v>1.7794988689097006E-2</v>
      </c>
      <c r="T6" s="10">
        <f t="shared" si="8"/>
        <v>0</v>
      </c>
      <c r="U6" s="10">
        <f t="shared" si="9"/>
        <v>0</v>
      </c>
      <c r="X6" s="10">
        <f t="shared" si="1"/>
        <v>4.3060781812819873E-2</v>
      </c>
      <c r="Y6" s="10">
        <f t="shared" si="2"/>
        <v>1.5320025675641944E-3</v>
      </c>
      <c r="Z6" s="10">
        <f t="shared" si="3"/>
        <v>1.7794988689097006E-2</v>
      </c>
      <c r="AA6" s="10">
        <f t="shared" si="4"/>
        <v>0</v>
      </c>
    </row>
    <row r="7" spans="1:27" x14ac:dyDescent="0.3">
      <c r="A7" s="8" t="s">
        <v>70</v>
      </c>
      <c r="B7" s="9">
        <v>6.3496059750411282E-2</v>
      </c>
      <c r="C7" s="9">
        <v>4.6071629863988765E-2</v>
      </c>
      <c r="D7" s="9">
        <v>2.306247051322625E-3</v>
      </c>
      <c r="E7" s="9">
        <v>3.8927934093844286E-3</v>
      </c>
      <c r="F7" s="9">
        <v>0.11576673007510711</v>
      </c>
      <c r="H7" s="14" t="str">
        <f t="shared" si="10"/>
        <v>Partner App</v>
      </c>
      <c r="I7" s="10">
        <f t="shared" si="5"/>
        <v>6.3496059750411282E-2</v>
      </c>
      <c r="J7" s="10">
        <f t="shared" si="6"/>
        <v>4.6071629863988765E-2</v>
      </c>
      <c r="K7" s="10">
        <f t="shared" si="6"/>
        <v>2.306247051322625E-3</v>
      </c>
      <c r="L7" s="15">
        <f t="shared" si="6"/>
        <v>3.8927934093844286E-3</v>
      </c>
      <c r="Q7">
        <f t="shared" ref="Q7:Q10" si="12">J7</f>
        <v>4.6071629863988765E-2</v>
      </c>
      <c r="R7" s="10">
        <f t="shared" si="11"/>
        <v>2.306247051322625E-3</v>
      </c>
      <c r="S7" s="10">
        <f t="shared" si="7"/>
        <v>3.8927934093844286E-3</v>
      </c>
      <c r="T7" s="10">
        <f t="shared" si="8"/>
        <v>0</v>
      </c>
      <c r="U7" s="10">
        <f t="shared" si="9"/>
        <v>0</v>
      </c>
      <c r="X7" s="10">
        <f t="shared" si="1"/>
        <v>4.6071629863988765E-2</v>
      </c>
      <c r="Y7" s="10">
        <f t="shared" si="2"/>
        <v>2.306247051322625E-3</v>
      </c>
      <c r="Z7" s="10">
        <f t="shared" si="3"/>
        <v>3.8927934093844286E-3</v>
      </c>
      <c r="AA7" s="10">
        <f t="shared" si="4"/>
        <v>0</v>
      </c>
    </row>
    <row r="8" spans="1:27" x14ac:dyDescent="0.3">
      <c r="A8" s="8" t="s">
        <v>40</v>
      </c>
      <c r="B8" s="9">
        <v>9.6337892927149532E-2</v>
      </c>
      <c r="C8" s="9">
        <v>6.7920115842382611E-2</v>
      </c>
      <c r="D8" s="9">
        <v>5.4979832664581261E-3</v>
      </c>
      <c r="E8" s="9">
        <v>1.2933041488102518E-2</v>
      </c>
      <c r="F8" s="9">
        <v>0.1826890335240928</v>
      </c>
      <c r="H8" s="14" t="str">
        <f t="shared" si="10"/>
        <v>Target.com</v>
      </c>
      <c r="I8" s="10">
        <f t="shared" si="5"/>
        <v>9.6337892927149532E-2</v>
      </c>
      <c r="J8" s="10">
        <f t="shared" si="6"/>
        <v>6.7920115842382611E-2</v>
      </c>
      <c r="K8" s="10">
        <f t="shared" si="6"/>
        <v>5.4979832664581261E-3</v>
      </c>
      <c r="L8" s="15">
        <f t="shared" si="6"/>
        <v>1.2933041488102518E-2</v>
      </c>
      <c r="Q8">
        <f t="shared" si="12"/>
        <v>6.7920115842382611E-2</v>
      </c>
      <c r="R8" s="10">
        <f t="shared" si="11"/>
        <v>5.4979832664581261E-3</v>
      </c>
      <c r="S8" s="10">
        <f t="shared" si="7"/>
        <v>1.2933041488102518E-2</v>
      </c>
      <c r="T8" s="10">
        <f t="shared" si="8"/>
        <v>0</v>
      </c>
      <c r="U8" s="10">
        <f t="shared" si="9"/>
        <v>0</v>
      </c>
      <c r="X8" s="10">
        <f t="shared" si="1"/>
        <v>6.7920115842382611E-2</v>
      </c>
      <c r="Y8" s="10">
        <f t="shared" si="2"/>
        <v>5.4979832664581261E-3</v>
      </c>
      <c r="Z8" s="10">
        <f t="shared" si="3"/>
        <v>1.2933041488102518E-2</v>
      </c>
      <c r="AA8" s="10">
        <f t="shared" si="4"/>
        <v>0</v>
      </c>
    </row>
    <row r="9" spans="1:27" x14ac:dyDescent="0.3">
      <c r="A9" s="8" t="s">
        <v>35</v>
      </c>
      <c r="B9" s="9">
        <v>0.12522098709469262</v>
      </c>
      <c r="C9" s="9">
        <v>9.1492740283116228E-2</v>
      </c>
      <c r="D9" s="9">
        <v>6.3042760790965081E-3</v>
      </c>
      <c r="E9" s="9">
        <v>1.2408404181197551E-2</v>
      </c>
      <c r="F9" s="9">
        <v>0.23542640763810288</v>
      </c>
      <c r="H9" s="16" t="str">
        <f t="shared" si="10"/>
        <v>Website</v>
      </c>
      <c r="I9" s="17">
        <f t="shared" si="5"/>
        <v>0.12522098709469262</v>
      </c>
      <c r="J9" s="17">
        <f t="shared" si="6"/>
        <v>9.1492740283116228E-2</v>
      </c>
      <c r="K9" s="17">
        <f t="shared" si="6"/>
        <v>6.3042760790965081E-3</v>
      </c>
      <c r="L9" s="18">
        <f t="shared" si="6"/>
        <v>1.2408404181197551E-2</v>
      </c>
      <c r="Q9">
        <f t="shared" si="12"/>
        <v>9.1492740283116228E-2</v>
      </c>
      <c r="R9" s="10">
        <f t="shared" si="11"/>
        <v>6.3042760790965081E-3</v>
      </c>
      <c r="S9" s="10">
        <f t="shared" si="7"/>
        <v>1.2408404181197551E-2</v>
      </c>
      <c r="T9" s="10">
        <f t="shared" si="8"/>
        <v>0</v>
      </c>
      <c r="U9" s="10">
        <f t="shared" si="9"/>
        <v>0</v>
      </c>
    </row>
    <row r="10" spans="1:27" x14ac:dyDescent="0.3">
      <c r="A10" s="8" t="s">
        <v>2529</v>
      </c>
      <c r="B10" s="9">
        <v>0.52495717387974916</v>
      </c>
      <c r="C10" s="9">
        <v>0.3711684913156732</v>
      </c>
      <c r="D10" s="9">
        <v>2.6245886489133303E-2</v>
      </c>
      <c r="E10" s="9">
        <v>7.7628448315444312E-2</v>
      </c>
      <c r="F10" s="9">
        <v>1</v>
      </c>
      <c r="Q10">
        <f t="shared" si="12"/>
        <v>0</v>
      </c>
      <c r="R10" s="10">
        <f t="shared" si="11"/>
        <v>0</v>
      </c>
      <c r="S10" s="10">
        <f t="shared" si="7"/>
        <v>0</v>
      </c>
      <c r="T10" s="10">
        <f t="shared" si="8"/>
        <v>0</v>
      </c>
      <c r="U10" s="10">
        <f t="shared" si="9"/>
        <v>0</v>
      </c>
    </row>
  </sheetData>
  <conditionalFormatting sqref="I5:L9">
    <cfRule type="colorScale" priority="3">
      <colorScale>
        <cfvo type="min"/>
        <cfvo type="percentile" val="50"/>
        <cfvo type="max"/>
        <color rgb="FFF8696B"/>
        <color rgb="FFFCFCFF"/>
        <color rgb="FF5A8AC6"/>
      </colorScale>
    </cfRule>
  </conditionalFormatting>
  <conditionalFormatting sqref="R6:U10">
    <cfRule type="colorScale" priority="1">
      <colorScale>
        <cfvo type="min"/>
        <cfvo type="percentile" val="50"/>
        <cfvo type="max"/>
        <color rgb="FFF8696B"/>
        <color rgb="FFFCFCFF"/>
        <color rgb="FF5A8AC6"/>
      </colorScale>
    </cfRule>
  </conditionalFormatting>
  <conditionalFormatting sqref="X4:AA8">
    <cfRule type="colorScale" priority="2">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sheetPr>
    <tabColor rgb="FFFFFF00"/>
  </sheetPr>
  <dimension ref="A1:O2401"/>
  <sheetViews>
    <sheetView workbookViewId="0">
      <selection activeCell="B14" sqref="B14"/>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sheetPr>
    <tabColor rgb="FF00B0F0"/>
  </sheetPr>
  <dimension ref="B2:B18"/>
  <sheetViews>
    <sheetView workbookViewId="0">
      <selection activeCell="C17" sqref="C17"/>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Sheet4</vt:lpstr>
      <vt:lpstr>Data</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pulluri vamshi</cp:lastModifiedBy>
  <dcterms:created xsi:type="dcterms:W3CDTF">2025-06-13T02:42:26Z</dcterms:created>
  <dcterms:modified xsi:type="dcterms:W3CDTF">2026-02-08T08:29:59Z</dcterms:modified>
</cp:coreProperties>
</file>